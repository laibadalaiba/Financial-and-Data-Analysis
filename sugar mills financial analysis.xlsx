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e Perfect Point\Desktop\"/>
    </mc:Choice>
  </mc:AlternateContent>
  <xr:revisionPtr revIDLastSave="0" documentId="13_ncr:1_{D09D6337-0225-4B85-88BC-41A0C71BBBB1}" xr6:coauthVersionLast="47" xr6:coauthVersionMax="47" xr10:uidLastSave="{00000000-0000-0000-0000-000000000000}"/>
  <bookViews>
    <workbookView xWindow="-120" yWindow="-120" windowWidth="20730" windowHeight="11160" firstSheet="4" activeTab="4" xr2:uid="{B09C512C-1575-4A3D-941D-159A972C43A0}"/>
  </bookViews>
  <sheets>
    <sheet name="Habib sugars" sheetId="1" r:id="rId1"/>
    <sheet name="Mehran sugar" sheetId="7" r:id="rId2"/>
    <sheet name="Al noors sugar" sheetId="6" r:id="rId3"/>
    <sheet name="chashma sugar" sheetId="5" r:id="rId4"/>
    <sheet name="mirpurkhas sugars (main)" sheetId="3" r:id="rId5"/>
    <sheet name="Industry Averages and graph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<sst xmlns="http://schemas.openxmlformats.org/spreadsheetml/2006/main" count="733" uniqueCount="361">
  <si>
    <t xml:space="preserve">Habib Sugar Mills Ltd. </t>
  </si>
  <si>
    <t>Balance Sheet</t>
  </si>
  <si>
    <t>ASSETS</t>
  </si>
  <si>
    <t>Non-current assets</t>
  </si>
  <si>
    <t>Property, plant and equipment</t>
  </si>
  <si>
    <t>Right-of-use assets</t>
  </si>
  <si>
    <t>Long-term Investments</t>
  </si>
  <si>
    <t>Long-term loans</t>
  </si>
  <si>
    <t xml:space="preserve">Long-term deposits </t>
  </si>
  <si>
    <t>total non current assets</t>
  </si>
  <si>
    <t>Current Assets</t>
  </si>
  <si>
    <t xml:space="preserve">Stores and spare parts </t>
  </si>
  <si>
    <t>Stock-in-trade</t>
  </si>
  <si>
    <t>Trade debts</t>
  </si>
  <si>
    <t>Loans and advances</t>
  </si>
  <si>
    <t>Trade deposits and short term loan prepayments</t>
  </si>
  <si>
    <t xml:space="preserve">Profit accrued on bank deposits </t>
  </si>
  <si>
    <t>Other recievables</t>
  </si>
  <si>
    <t>Taxation - net</t>
  </si>
  <si>
    <t>Short term investments</t>
  </si>
  <si>
    <t xml:space="preserve">Cash and bank balances </t>
  </si>
  <si>
    <t>total current assets</t>
  </si>
  <si>
    <t>Total Assets</t>
  </si>
  <si>
    <t>EQUITY AND LIABILITIES</t>
  </si>
  <si>
    <t>Equity</t>
  </si>
  <si>
    <t>Issued, subscribed and paid-up capital</t>
  </si>
  <si>
    <t>Reserves</t>
  </si>
  <si>
    <t xml:space="preserve">total equity </t>
  </si>
  <si>
    <t>Non-current liabilities</t>
  </si>
  <si>
    <t>Deferred taxation</t>
  </si>
  <si>
    <t>Gas Infrastructure Development cess</t>
  </si>
  <si>
    <t xml:space="preserve">Lease liabilities </t>
  </si>
  <si>
    <t>total non current liabilities</t>
  </si>
  <si>
    <t>Current liabilities</t>
  </si>
  <si>
    <t>Trade and other payables</t>
  </si>
  <si>
    <t>Contract liability</t>
  </si>
  <si>
    <t>Advance from customers</t>
  </si>
  <si>
    <t>Short term borrowings</t>
  </si>
  <si>
    <t>Unclaimed dividends</t>
  </si>
  <si>
    <t>Accured mark-up</t>
  </si>
  <si>
    <t>Current portion of lease Liability</t>
  </si>
  <si>
    <t xml:space="preserve">total current liabilties </t>
  </si>
  <si>
    <t>Total equity and liabilities</t>
  </si>
  <si>
    <t>As at September 30</t>
  </si>
  <si>
    <t>Net Sales and Services</t>
  </si>
  <si>
    <t>Cost of sales</t>
  </si>
  <si>
    <t>Gross Profit</t>
  </si>
  <si>
    <t>Selling and distribution expenses</t>
  </si>
  <si>
    <t xml:space="preserve">Administrative expenses </t>
  </si>
  <si>
    <t>Other operating expenses</t>
  </si>
  <si>
    <t>Other income</t>
  </si>
  <si>
    <t>total</t>
  </si>
  <si>
    <t>Operating Profit</t>
  </si>
  <si>
    <t>Finance income - net</t>
  </si>
  <si>
    <t>Profit before levies and income tax</t>
  </si>
  <si>
    <t>Levies - final tax</t>
  </si>
  <si>
    <t>Profit before income tax</t>
  </si>
  <si>
    <t>Taxation</t>
  </si>
  <si>
    <t>Profit after taxation</t>
  </si>
  <si>
    <t>Earnings per share -Basic and diluted (Rupees)</t>
  </si>
  <si>
    <t>Profit for the year</t>
  </si>
  <si>
    <t>Other comprehensive income :</t>
  </si>
  <si>
    <t>Actuarial (loss) / gain on defined benefit plan - net</t>
  </si>
  <si>
    <t>Company ratios</t>
  </si>
  <si>
    <t>Liquidity Ratios</t>
  </si>
  <si>
    <t>Current ratio (times)</t>
  </si>
  <si>
    <t>Quick ratio (times)</t>
  </si>
  <si>
    <t>Assets Management Ratios</t>
  </si>
  <si>
    <t>Inventory turnover (times)</t>
  </si>
  <si>
    <t>Days Sales Outstanding (days)</t>
  </si>
  <si>
    <t>Total Asset Turnover (times)</t>
  </si>
  <si>
    <t>Fixed Asset turnover (times)</t>
  </si>
  <si>
    <t>Debt Management Ratio</t>
  </si>
  <si>
    <t>Debt to Capital ratio</t>
  </si>
  <si>
    <t>Times Interest Earned Ratio</t>
  </si>
  <si>
    <t>Profatibility Ratios</t>
  </si>
  <si>
    <t>Return On Total Assets</t>
  </si>
  <si>
    <t>Market Value Ratios</t>
  </si>
  <si>
    <t>Price to earning ratio (times)</t>
  </si>
  <si>
    <t>Market to Book Ratio (times)</t>
  </si>
  <si>
    <t xml:space="preserve">Habib Sugar Mills Ltd.                                                                                                                                                                                            Statement of Comprehensive Income  </t>
  </si>
  <si>
    <t>Additional Information</t>
  </si>
  <si>
    <t>Dividend per share (Rs)</t>
  </si>
  <si>
    <t xml:space="preserve">Price per share (Rs) </t>
  </si>
  <si>
    <t>Tax rate</t>
  </si>
  <si>
    <t>Accounts Payable (Rs 000s)</t>
  </si>
  <si>
    <t>Book value per share (Rs)</t>
  </si>
  <si>
    <t>Earnings Per share (Rs)</t>
  </si>
  <si>
    <t>Depreciation/Amortization (Rs 000s)</t>
  </si>
  <si>
    <t>Number of outstanding shares (Rs in million)</t>
  </si>
  <si>
    <t>infinite</t>
  </si>
  <si>
    <t>Long-term receivables</t>
  </si>
  <si>
    <t>Non current assets held for sale</t>
  </si>
  <si>
    <t>Long-term financing</t>
  </si>
  <si>
    <t>Market committee fee payable</t>
  </si>
  <si>
    <t>Deferred liabilities</t>
  </si>
  <si>
    <t>Deferred income - government grant</t>
  </si>
  <si>
    <t>Provision for quality premium</t>
  </si>
  <si>
    <t>Current portion of long-term financing</t>
  </si>
  <si>
    <t>Current portion of lease liabilities</t>
  </si>
  <si>
    <t>Current portion of market committee fee payable</t>
  </si>
  <si>
    <t>Current portion of deferred income - government grant</t>
  </si>
  <si>
    <t>Provision for market committee fee</t>
  </si>
  <si>
    <t>Current portion of non-current liabilities</t>
  </si>
  <si>
    <t>Sales tax and federal excise duty payable</t>
  </si>
  <si>
    <t>-</t>
  </si>
  <si>
    <t>Turnover - gross</t>
  </si>
  <si>
    <t>Sales tax</t>
  </si>
  <si>
    <t>Turnover - net</t>
  </si>
  <si>
    <t>Distributuion costs</t>
  </si>
  <si>
    <t>Other expenses</t>
  </si>
  <si>
    <t>Share of (loss) / profit from associates – net</t>
  </si>
  <si>
    <t>Provision for impairment on long-term investments</t>
  </si>
  <si>
    <t>Allowance for ECL on long-term receivables</t>
  </si>
  <si>
    <t>Finance costs</t>
  </si>
  <si>
    <t>(Loss)/ Profit before levies and income tax</t>
  </si>
  <si>
    <t>Minimum taxes</t>
  </si>
  <si>
    <t>(Loss)/ Profit before income tax</t>
  </si>
  <si>
    <t>Net Profit/ (loss) for the year</t>
  </si>
  <si>
    <t>Items that will not be reclassified subsequently to statement of profit or loss in subsequent periods:</t>
  </si>
  <si>
    <t xml:space="preserve">Gain// (loss) on disposal of investments at FVOCI </t>
  </si>
  <si>
    <t>Unrealised gain / (loss) on remeasurement of equity instruments designated at fair value through other comprehensive income</t>
  </si>
  <si>
    <t>Total Comprehensive (loss)/ Income for the year</t>
  </si>
  <si>
    <t>Mehran Sugar Mills Limited</t>
  </si>
  <si>
    <t>Bioloical Assets</t>
  </si>
  <si>
    <t xml:space="preserve">Mehran Sugar Mills Ltd.                                                                                                                                                                                            Statement of Comprehensive Income  </t>
  </si>
  <si>
    <t>Income Statement</t>
  </si>
  <si>
    <t>BALANCE SHEET</t>
  </si>
  <si>
    <t>NON-CURRENT ASSETS</t>
  </si>
  <si>
    <t>Property plant and equipment</t>
  </si>
  <si>
    <t>Intangible assets</t>
  </si>
  <si>
    <t>Long-term investments</t>
  </si>
  <si>
    <t>Long-term loans and deposits</t>
  </si>
  <si>
    <t>Deferred tax asset-net</t>
  </si>
  <si>
    <t>CURRENT ASSETS</t>
  </si>
  <si>
    <t>Stores spare parts and loose tools</t>
  </si>
  <si>
    <t>Biological assets</t>
  </si>
  <si>
    <t>Trade deposits and short-term prepayments</t>
  </si>
  <si>
    <t>Other receivables</t>
  </si>
  <si>
    <t>Short-term investments</t>
  </si>
  <si>
    <t>Tax refunds due from the Government</t>
  </si>
  <si>
    <t>Cash and bank balances</t>
  </si>
  <si>
    <t>TOTAL CURRENT ASSETS</t>
  </si>
  <si>
    <t>Non-current asset held for sale</t>
  </si>
  <si>
    <t>TOTAL ASSETS</t>
  </si>
  <si>
    <t>EQUITY</t>
  </si>
  <si>
    <t>Share capital</t>
  </si>
  <si>
    <t>Surplus on revaluation of property plant &amp; equipment</t>
  </si>
  <si>
    <t>NON-CURRENT LIABILITIES</t>
  </si>
  <si>
    <t>Long-term lease liabilities</t>
  </si>
  <si>
    <t>Deferred tax liability-net</t>
  </si>
  <si>
    <t>Government grant</t>
  </si>
  <si>
    <t>CURRENT LIABILITIES</t>
  </si>
  <si>
    <t>Accrued mark-up</t>
  </si>
  <si>
    <t>Short-term borrowings</t>
  </si>
  <si>
    <t>Current portion of long-term lease liabilities</t>
  </si>
  <si>
    <t>Current portion of government grant</t>
  </si>
  <si>
    <t>Unclaimed dividend</t>
  </si>
  <si>
    <t>TOTAL CURREN T LIABILITIES</t>
  </si>
  <si>
    <t>Liabilities associated with non-current asset held for sale</t>
  </si>
  <si>
    <t>CONTINGENCIES AND COMMITMENTS</t>
  </si>
  <si>
    <t>TOTAL EQUITY AND LIABILITIES</t>
  </si>
  <si>
    <t>INCOME STATEMENT</t>
  </si>
  <si>
    <t>Gross profit</t>
  </si>
  <si>
    <t>Distribution cost</t>
  </si>
  <si>
    <t>Administrative expenses</t>
  </si>
  <si>
    <t>Operating profit</t>
  </si>
  <si>
    <t>Finance cost</t>
  </si>
  <si>
    <t>Share of (loss) / profit in associates - net</t>
  </si>
  <si>
    <t>(Loss) / Profit before levies and taxation</t>
  </si>
  <si>
    <t>Levies</t>
  </si>
  <si>
    <t>(Loss) / Profit before taxation</t>
  </si>
  <si>
    <t>(Loss) / Profit after taxation</t>
  </si>
  <si>
    <t>(Restated)</t>
  </si>
  <si>
    <t>(Loss) / Earnings per share - basic &amp; diluted (Rupees)</t>
  </si>
  <si>
    <t>RATIOS</t>
  </si>
  <si>
    <t>Liquidity</t>
  </si>
  <si>
    <t>Current</t>
  </si>
  <si>
    <t>Quick</t>
  </si>
  <si>
    <t>Asset Management</t>
  </si>
  <si>
    <t>Inventory tumover</t>
  </si>
  <si>
    <t>Days sales outstanding (DSO)</t>
  </si>
  <si>
    <t>Fixed assets tumover</t>
  </si>
  <si>
    <t>Total assets turnover</t>
  </si>
  <si>
    <t>Debt Management</t>
  </si>
  <si>
    <t>Total debt to total capital</t>
  </si>
  <si>
    <t>Times-interest-eamed (TIE)</t>
  </si>
  <si>
    <t>Operating margin</t>
  </si>
  <si>
    <t>Profit margin</t>
  </si>
  <si>
    <t>Return on total assets (ROA)</t>
  </si>
  <si>
    <t>Return on invested capital (ROIC)</t>
  </si>
  <si>
    <t>Basic earning power (BEP)</t>
  </si>
  <si>
    <t>Market Value</t>
  </si>
  <si>
    <t>Price/Earnings (P/E)</t>
  </si>
  <si>
    <t>Market/Book (M/B)</t>
  </si>
  <si>
    <t>EV/EBITDA</t>
  </si>
  <si>
    <t>Mirpurkhas sugar mills Ltd</t>
  </si>
  <si>
    <t>Return on equity (ROE)</t>
  </si>
  <si>
    <t>ADDITIONAL INFORMATION</t>
  </si>
  <si>
    <t>Unit</t>
  </si>
  <si>
    <t>Earnings Per Share (EPS)</t>
  </si>
  <si>
    <t>Rs</t>
  </si>
  <si>
    <t>Book Value Per Share</t>
  </si>
  <si>
    <t xml:space="preserve">Number of outstanding shares </t>
  </si>
  <si>
    <t>Rs (in 000s)</t>
  </si>
  <si>
    <t xml:space="preserve">Depreciation &amp; Amortisation </t>
  </si>
  <si>
    <t>Not meaningful</t>
  </si>
  <si>
    <r>
      <t xml:space="preserve">Income Statement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</rPr>
      <t xml:space="preserve">         For the year ended 30 September</t>
    </r>
    <r>
      <rPr>
        <b/>
        <sz val="18"/>
        <color theme="1"/>
        <rFont val="Calibri"/>
        <family val="2"/>
      </rPr>
      <t xml:space="preserve">                                                                                                                                                                             </t>
    </r>
  </si>
  <si>
    <t>Profitability (%)</t>
  </si>
  <si>
    <t>Balance Sheet - PKR (mn)</t>
  </si>
  <si>
    <t xml:space="preserve"> </t>
  </si>
  <si>
    <t>Stock in trade</t>
  </si>
  <si>
    <t>Property plant &amp; equipment</t>
  </si>
  <si>
    <t>Total current liabilities</t>
  </si>
  <si>
    <t>Non current liabilities</t>
  </si>
  <si>
    <t>Total non-current liabilities</t>
  </si>
  <si>
    <t>Total liabilities</t>
  </si>
  <si>
    <t>Total equity</t>
  </si>
  <si>
    <t>Income Statement - PKR (mn)</t>
  </si>
  <si>
    <r>
      <t xml:space="preserve">INCOME STATEMENT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</rPr>
      <t xml:space="preserve">         For the year ended 30 September</t>
    </r>
    <r>
      <rPr>
        <b/>
        <sz val="18"/>
        <color theme="1"/>
        <rFont val="Calibri"/>
        <family val="2"/>
      </rPr>
      <t xml:space="preserve">                                                                                                                                                                             </t>
    </r>
  </si>
  <si>
    <t>Right of use assets</t>
  </si>
  <si>
    <t>Authorized capital</t>
  </si>
  <si>
    <t>General reserve</t>
  </si>
  <si>
    <t>Unappropriated profits</t>
  </si>
  <si>
    <t>Surplus on revaluation of property, plant and equipment</t>
  </si>
  <si>
    <t>Shareholders' equity</t>
  </si>
  <si>
    <t>Loans from related parties</t>
  </si>
  <si>
    <t>lease liabilities</t>
  </si>
  <si>
    <t>Deferred tax liability</t>
  </si>
  <si>
    <t>provision for gratuity</t>
  </si>
  <si>
    <t>Deferred government grant</t>
  </si>
  <si>
    <t>unclaimed dividend</t>
  </si>
  <si>
    <t>Short-term running finance</t>
  </si>
  <si>
    <t>Current maturity of non current liabilities</t>
  </si>
  <si>
    <t>gross sales</t>
  </si>
  <si>
    <t>sales net</t>
  </si>
  <si>
    <t>sales tax,other Gov levies and discount</t>
  </si>
  <si>
    <t>Profitability</t>
  </si>
  <si>
    <t xml:space="preserve">Al-Noor Sugar Mills Ltd.                                                                       </t>
  </si>
  <si>
    <t xml:space="preserve">Stores, spare parts and loose tools </t>
  </si>
  <si>
    <t xml:space="preserve">Trade debts </t>
  </si>
  <si>
    <t xml:space="preserve">Trade deposits and short term prepayments </t>
  </si>
  <si>
    <t>Short term Investment</t>
  </si>
  <si>
    <t xml:space="preserve">Taxation - Net </t>
  </si>
  <si>
    <t>Total Current Assets</t>
  </si>
  <si>
    <t>Non Current Assets</t>
  </si>
  <si>
    <t xml:space="preserve">Intangible asset </t>
  </si>
  <si>
    <t xml:space="preserve">Long term investments </t>
  </si>
  <si>
    <t xml:space="preserve">Long term loans </t>
  </si>
  <si>
    <t xml:space="preserve"> Long term deposits </t>
  </si>
  <si>
    <t>Total Non-Current Assets</t>
  </si>
  <si>
    <t>Accrued finance cost</t>
  </si>
  <si>
    <t xml:space="preserve"> Short term borrowings</t>
  </si>
  <si>
    <t xml:space="preserve"> Unclaimed dividend </t>
  </si>
  <si>
    <t xml:space="preserve">Current portion of long term financing </t>
  </si>
  <si>
    <t xml:space="preserve">Current portion of lease lliability against right-of-use assets </t>
  </si>
  <si>
    <t xml:space="preserve">Long term financing </t>
  </si>
  <si>
    <t xml:space="preserve">Lease liability against right-of-use assets </t>
  </si>
  <si>
    <t xml:space="preserve">Deferred taxation </t>
  </si>
  <si>
    <t>SHARE CAPITAL AND RESERVES</t>
  </si>
  <si>
    <t xml:space="preserve">Authorised Capital
 50,000,000 ordinary shares of Rs.10 each </t>
  </si>
  <si>
    <t xml:space="preserve">Issued, subscribed and paid-up capital </t>
  </si>
  <si>
    <t xml:space="preserve"> Revenue Reserve</t>
  </si>
  <si>
    <t xml:space="preserve">General reserve </t>
  </si>
  <si>
    <t>Unappropriated profit</t>
  </si>
  <si>
    <t xml:space="preserve">Share of associate's unrealised loss on remeasurement of its
 investment at fair value through other comprehensive income </t>
  </si>
  <si>
    <t>Capital Reserve</t>
  </si>
  <si>
    <t>Surplus on Revaluation Of Property, Plant and Equipment</t>
  </si>
  <si>
    <t>Total Liabilities and Equity</t>
  </si>
  <si>
    <t xml:space="preserve">Al-Noor Sugar Mills Ltd.                                                                                                                                                                                             </t>
  </si>
  <si>
    <t>Sales</t>
  </si>
  <si>
    <t>Gross profit/(loss)</t>
  </si>
  <si>
    <t>Profit from trading activities</t>
  </si>
  <si>
    <t>Less:</t>
  </si>
  <si>
    <t>Administrative cost</t>
  </si>
  <si>
    <t>Other operating cost/expenses</t>
  </si>
  <si>
    <t>Add: Other income</t>
  </si>
  <si>
    <t>Less: Finance cost</t>
  </si>
  <si>
    <t>Add: Share of profit from associates</t>
  </si>
  <si>
    <t>Profit/(Loss) before taxation</t>
  </si>
  <si>
    <t xml:space="preserve">Less: Taxation </t>
  </si>
  <si>
    <t>Profit/(Loss) after taxation</t>
  </si>
  <si>
    <t>Earning/ (Loss) per share - Basic and Diluted (Rupees</t>
  </si>
  <si>
    <t xml:space="preserve">
3664766</t>
  </si>
  <si>
    <t xml:space="preserve">167.2	</t>
  </si>
  <si>
    <t xml:space="preserve">169.1	</t>
  </si>
  <si>
    <t>Chashma Sugar Mills Ltd.</t>
  </si>
  <si>
    <t>TOTAL NONCURRENT ASSETS</t>
  </si>
  <si>
    <t>N/A</t>
  </si>
  <si>
    <t>Liabilities and Equity</t>
  </si>
  <si>
    <t xml:space="preserve">Year </t>
  </si>
  <si>
    <t>Industry avg</t>
  </si>
  <si>
    <t>Quick Ratio</t>
  </si>
  <si>
    <t>Inventory turnover ratio</t>
  </si>
  <si>
    <t>Profitability Ratios</t>
  </si>
  <si>
    <t>Year</t>
  </si>
  <si>
    <t>Industry Avg</t>
  </si>
  <si>
    <t>Mirpurkhas</t>
  </si>
  <si>
    <t>Current ratio</t>
  </si>
  <si>
    <t>Return on Equity (ROE)</t>
  </si>
  <si>
    <t>Return On Invested Capital (ROIC)</t>
  </si>
  <si>
    <t>Basic Earning Power (BEP)</t>
  </si>
  <si>
    <t>Profit Margin</t>
  </si>
  <si>
    <t>Operating Margin</t>
  </si>
  <si>
    <t>Rs in '000</t>
  </si>
  <si>
    <t>Return On Total Assets (ROA)</t>
  </si>
  <si>
    <t>Return On Equity (ROE)</t>
  </si>
  <si>
    <t>Return On invested Capital (ROIC)</t>
  </si>
  <si>
    <t>Profatibility Ratios (%)</t>
  </si>
  <si>
    <t>UNIT</t>
  </si>
  <si>
    <t>TOTAL CURRENT LIABILITIES</t>
  </si>
  <si>
    <t xml:space="preserve">Amortisation </t>
  </si>
  <si>
    <t xml:space="preserve">Depreciation </t>
  </si>
  <si>
    <t>Market Price per share</t>
  </si>
  <si>
    <t>TOTAL NONCURRENT LIABILITIES</t>
  </si>
  <si>
    <t>provision for tax levies - net</t>
  </si>
  <si>
    <t>3.12 days</t>
  </si>
  <si>
    <t>16.80 days</t>
  </si>
  <si>
    <t>0.94 days</t>
  </si>
  <si>
    <t>12.14 days</t>
  </si>
  <si>
    <t>3.28 days</t>
  </si>
  <si>
    <r>
      <rPr>
        <b/>
        <i/>
        <sz val="11"/>
        <color theme="1"/>
        <rFont val="Times New Roman"/>
        <family val="1"/>
      </rPr>
      <t>Note:</t>
    </r>
    <r>
      <rPr>
        <i/>
        <sz val="11"/>
        <color theme="1"/>
        <rFont val="Times New Roman"/>
        <family val="1"/>
      </rPr>
      <t xml:space="preserve"> The 2022 figures were extracted from the 2023 Annual Report, as the original 2022 report contained scanned pages with unclear numerical values.</t>
    </r>
  </si>
  <si>
    <t>Receivables turnover (times)</t>
  </si>
  <si>
    <t>Payables turnover (times)</t>
  </si>
  <si>
    <t>Days Sales Of Inventory (days)</t>
  </si>
  <si>
    <t>Days Payable Outstanding (days)</t>
  </si>
  <si>
    <t>Cash Conversion cycle (days)</t>
  </si>
  <si>
    <t xml:space="preserve">Debt to Asset Ratio </t>
  </si>
  <si>
    <t>Debt to Equity ratio</t>
  </si>
  <si>
    <t>Long term debt ratio</t>
  </si>
  <si>
    <t>Return On Common Equity</t>
  </si>
  <si>
    <t>Dividend Yield Ratio</t>
  </si>
  <si>
    <t>Dividend Payout Ratio</t>
  </si>
  <si>
    <t>Dividend Cover (times)</t>
  </si>
  <si>
    <t>Debt to Asset ratio</t>
  </si>
  <si>
    <t xml:space="preserve">Additonal Information </t>
  </si>
  <si>
    <t>Receivables Turnover (Times)</t>
  </si>
  <si>
    <t>Days Sales of Inventory (Days)</t>
  </si>
  <si>
    <t>Payables Turnover (Times)</t>
  </si>
  <si>
    <t>Days Payable Outstanding (Days)</t>
  </si>
  <si>
    <t>Cash Conversion Cycle (Days)</t>
  </si>
  <si>
    <t>Inventory Turnover (Times)</t>
  </si>
  <si>
    <t>Debt to Capital Ratio</t>
  </si>
  <si>
    <t>Debt to Equity Ratio</t>
  </si>
  <si>
    <t>Long Term Debt Ratio</t>
  </si>
  <si>
    <t>Days Sales Of Inventory (DSI)</t>
  </si>
  <si>
    <t>Days Payable Outstanding</t>
  </si>
  <si>
    <t>Payables Turnover (times)</t>
  </si>
  <si>
    <t>Recievables Turnover (times)</t>
  </si>
  <si>
    <t>Debt To Asset Ratio</t>
  </si>
  <si>
    <t>Receivables Turnover</t>
  </si>
  <si>
    <t>Payables Turnover</t>
  </si>
  <si>
    <t>Days Sales of Inventory (days)</t>
  </si>
  <si>
    <t>Days Payables Outstanding (days)</t>
  </si>
  <si>
    <t>Cash Conversion Cycle (days)</t>
  </si>
  <si>
    <t>Debt to Asset Ratio</t>
  </si>
  <si>
    <t>Long-Term Debt Ratio</t>
  </si>
  <si>
    <t>Dividend Cover</t>
  </si>
  <si>
    <t>Dividend Per Share</t>
  </si>
  <si>
    <t>Dividend Per share</t>
  </si>
  <si>
    <t xml:space="preserve">not meaningful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</si>
</sst>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ptos Narrow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Aptos Narrow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 tint="0.249977111117893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1"/>
      <color rgb="FF231F20"/>
      <name val="Calibri"/>
      <family val="2"/>
    </font>
    <font>
      <sz val="10"/>
      <color rgb="FF231F20"/>
      <name val="Calibri"/>
      <family val="2"/>
    </font>
    <font>
      <b/>
      <sz val="12"/>
      <color rgb="FF231F20"/>
      <name val="Calibri"/>
      <family val="2"/>
    </font>
    <font>
      <sz val="10"/>
      <name val="Calibri"/>
      <family val="2"/>
    </font>
    <font>
      <sz val="11.25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Calibri"/>
      <family val="2"/>
    </font>
    <font>
      <sz val="12"/>
      <color rgb="FF212529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ptos Narrow"/>
      <charset val="134"/>
      <scheme val="minor"/>
    </font>
    <font>
      <b/>
      <sz val="16"/>
      <color theme="1"/>
      <name val="Calibri"/>
      <family val="2"/>
    </font>
    <font>
      <sz val="11"/>
      <color rgb="FF0F1115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EFFC9"/>
        <bgColor rgb="FF000000"/>
      </patternFill>
    </fill>
    <fill>
      <patternFill patternType="solid">
        <fgColor rgb="FFE2E1FF"/>
        <bgColor rgb="FF000000"/>
      </patternFill>
    </fill>
    <fill>
      <patternFill patternType="solid">
        <fgColor rgb="FFFFEBF9"/>
        <bgColor rgb="FF000000"/>
      </patternFill>
    </fill>
    <fill>
      <patternFill patternType="solid">
        <fgColor rgb="FFF9E8DF"/>
        <bgColor rgb="FF000000"/>
      </patternFill>
    </fill>
    <fill>
      <patternFill patternType="solid">
        <fgColor rgb="FFF6FDCB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A4C2F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rgb="FF1F4E78"/>
      </patternFill>
    </fill>
    <fill>
      <patternFill patternType="solid">
        <fgColor theme="5" tint="0.39997558519241921"/>
        <bgColor rgb="FF1F4E7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rgb="FFA4C2F4"/>
      </patternFill>
    </fill>
    <fill>
      <patternFill patternType="solid">
        <fgColor theme="5" tint="0.59999389629810485"/>
        <bgColor rgb="FFA4C2F4"/>
      </patternFill>
    </fill>
    <fill>
      <patternFill patternType="solid">
        <fgColor theme="3" tint="0.89999084444715716"/>
        <bgColor theme="4" tint="0.799951170384838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5117038483843"/>
      </patternFill>
    </fill>
    <fill>
      <patternFill patternType="solid">
        <fgColor theme="8" tint="0.79998168889431442"/>
        <bgColor theme="4" tint="0.79995117038483843"/>
      </patternFill>
    </fill>
    <fill>
      <patternFill patternType="solid">
        <fgColor rgb="FFFFFFCC"/>
        <bgColor theme="4" tint="0.79995117038483843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CCCC"/>
        <bgColor rgb="FFFFEBF9"/>
      </patternFill>
    </fill>
    <fill>
      <patternFill patternType="solid">
        <fgColor theme="0"/>
        <bgColor rgb="FFFFEBF9"/>
      </patternFill>
    </fill>
    <fill>
      <patternFill patternType="solid">
        <fgColor theme="5" tint="0.39997558519241921"/>
        <bgColor rgb="FFFFEBF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1" fillId="0" borderId="0"/>
    <xf numFmtId="0" fontId="15" fillId="0" borderId="0"/>
    <xf numFmtId="0" fontId="11" fillId="0" borderId="0"/>
    <xf numFmtId="9" fontId="11" fillId="0" borderId="0" applyFont="0" applyFill="0" applyBorder="0" applyAlignment="0" applyProtection="0"/>
    <xf numFmtId="0" fontId="34" fillId="0" borderId="0"/>
    <xf numFmtId="0" fontId="11" fillId="0" borderId="0"/>
  </cellStyleXfs>
  <cellXfs count="542">
    <xf numFmtId="0" fontId="0" fillId="0" borderId="0" xfId="0"/>
    <xf numFmtId="10" fontId="0" fillId="0" borderId="0" xfId="0" applyNumberFormat="1"/>
    <xf numFmtId="10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3" fontId="4" fillId="0" borderId="0" xfId="0" applyNumberFormat="1" applyFont="1"/>
    <xf numFmtId="0" fontId="4" fillId="0" borderId="5" xfId="0" applyFont="1" applyBorder="1" applyAlignment="1">
      <alignment wrapText="1"/>
    </xf>
    <xf numFmtId="3" fontId="4" fillId="0" borderId="5" xfId="0" applyNumberFormat="1" applyFont="1" applyBorder="1"/>
    <xf numFmtId="0" fontId="7" fillId="16" borderId="0" xfId="0" applyFont="1" applyFill="1"/>
    <xf numFmtId="0" fontId="8" fillId="16" borderId="0" xfId="0" applyFont="1" applyFill="1"/>
    <xf numFmtId="0" fontId="8" fillId="10" borderId="9" xfId="2" applyFont="1" applyFill="1" applyBorder="1"/>
    <xf numFmtId="0" fontId="8" fillId="0" borderId="9" xfId="2" applyFont="1" applyBorder="1"/>
    <xf numFmtId="0" fontId="9" fillId="17" borderId="9" xfId="2" applyFont="1" applyFill="1" applyBorder="1"/>
    <xf numFmtId="0" fontId="8" fillId="17" borderId="9" xfId="2" applyFont="1" applyFill="1" applyBorder="1"/>
    <xf numFmtId="0" fontId="9" fillId="17" borderId="9" xfId="2" applyFont="1" applyFill="1" applyBorder="1" applyAlignment="1">
      <alignment horizontal="right"/>
    </xf>
    <xf numFmtId="0" fontId="8" fillId="14" borderId="9" xfId="2" applyFont="1" applyFill="1" applyBorder="1"/>
    <xf numFmtId="0" fontId="9" fillId="16" borderId="9" xfId="2" applyFont="1" applyFill="1" applyBorder="1"/>
    <xf numFmtId="0" fontId="8" fillId="16" borderId="9" xfId="2" applyFont="1" applyFill="1" applyBorder="1"/>
    <xf numFmtId="0" fontId="8" fillId="0" borderId="9" xfId="2" applyFont="1" applyBorder="1" applyAlignment="1">
      <alignment horizontal="right"/>
    </xf>
    <xf numFmtId="0" fontId="9" fillId="17" borderId="21" xfId="2" applyFont="1" applyFill="1" applyBorder="1"/>
    <xf numFmtId="0" fontId="8" fillId="17" borderId="21" xfId="2" applyFont="1" applyFill="1" applyBorder="1"/>
    <xf numFmtId="0" fontId="9" fillId="17" borderId="21" xfId="2" applyFont="1" applyFill="1" applyBorder="1" applyAlignment="1">
      <alignment horizontal="right"/>
    </xf>
    <xf numFmtId="0" fontId="9" fillId="0" borderId="0" xfId="2" applyFont="1"/>
    <xf numFmtId="0" fontId="8" fillId="0" borderId="0" xfId="2" applyFont="1"/>
    <xf numFmtId="0" fontId="9" fillId="0" borderId="0" xfId="2" applyFont="1" applyAlignment="1">
      <alignment horizontal="right"/>
    </xf>
    <xf numFmtId="0" fontId="9" fillId="17" borderId="20" xfId="2" applyFont="1" applyFill="1" applyBorder="1"/>
    <xf numFmtId="0" fontId="8" fillId="17" borderId="20" xfId="2" applyFont="1" applyFill="1" applyBorder="1"/>
    <xf numFmtId="0" fontId="9" fillId="17" borderId="20" xfId="2" applyFont="1" applyFill="1" applyBorder="1" applyAlignment="1">
      <alignment horizontal="right"/>
    </xf>
    <xf numFmtId="3" fontId="8" fillId="0" borderId="9" xfId="2" applyNumberFormat="1" applyFont="1" applyBorder="1" applyAlignment="1">
      <alignment horizontal="right"/>
    </xf>
    <xf numFmtId="3" fontId="8" fillId="0" borderId="9" xfId="2" applyNumberFormat="1" applyFont="1" applyBorder="1"/>
    <xf numFmtId="0" fontId="8" fillId="10" borderId="9" xfId="2" applyFont="1" applyFill="1" applyBorder="1" applyAlignment="1">
      <alignment horizontal="right"/>
    </xf>
    <xf numFmtId="3" fontId="8" fillId="10" borderId="9" xfId="2" applyNumberFormat="1" applyFont="1" applyFill="1" applyBorder="1"/>
    <xf numFmtId="3" fontId="8" fillId="10" borderId="9" xfId="2" applyNumberFormat="1" applyFont="1" applyFill="1" applyBorder="1" applyAlignment="1">
      <alignment horizontal="right"/>
    </xf>
    <xf numFmtId="3" fontId="9" fillId="17" borderId="9" xfId="2" applyNumberFormat="1" applyFont="1" applyFill="1" applyBorder="1"/>
    <xf numFmtId="0" fontId="8" fillId="0" borderId="18" xfId="2" applyFont="1" applyBorder="1"/>
    <xf numFmtId="0" fontId="8" fillId="0" borderId="19" xfId="2" applyFont="1" applyBorder="1"/>
    <xf numFmtId="0" fontId="9" fillId="10" borderId="9" xfId="2" applyFont="1" applyFill="1" applyBorder="1"/>
    <xf numFmtId="2" fontId="8" fillId="13" borderId="9" xfId="2" applyNumberFormat="1" applyFont="1" applyFill="1" applyBorder="1"/>
    <xf numFmtId="2" fontId="8" fillId="10" borderId="9" xfId="2" applyNumberFormat="1" applyFont="1" applyFill="1" applyBorder="1"/>
    <xf numFmtId="2" fontId="8" fillId="15" borderId="9" xfId="2" applyNumberFormat="1" applyFont="1" applyFill="1" applyBorder="1"/>
    <xf numFmtId="2" fontId="8" fillId="19" borderId="9" xfId="2" applyNumberFormat="1" applyFont="1" applyFill="1" applyBorder="1"/>
    <xf numFmtId="2" fontId="8" fillId="11" borderId="9" xfId="2" applyNumberFormat="1" applyFont="1" applyFill="1" applyBorder="1"/>
    <xf numFmtId="2" fontId="8" fillId="18" borderId="9" xfId="2" applyNumberFormat="1" applyFont="1" applyFill="1" applyBorder="1"/>
    <xf numFmtId="0" fontId="8" fillId="0" borderId="9" xfId="3" applyFont="1" applyBorder="1"/>
    <xf numFmtId="0" fontId="12" fillId="0" borderId="9" xfId="3" applyFont="1" applyBorder="1"/>
    <xf numFmtId="3" fontId="10" fillId="0" borderId="9" xfId="3" applyNumberFormat="1" applyFont="1" applyBorder="1"/>
    <xf numFmtId="3" fontId="8" fillId="0" borderId="9" xfId="3" applyNumberFormat="1" applyFont="1" applyBorder="1" applyAlignment="1">
      <alignment horizontal="right"/>
    </xf>
    <xf numFmtId="0" fontId="12" fillId="0" borderId="17" xfId="3" applyFont="1" applyBorder="1"/>
    <xf numFmtId="0" fontId="8" fillId="0" borderId="17" xfId="3" applyFont="1" applyBorder="1"/>
    <xf numFmtId="0" fontId="8" fillId="0" borderId="17" xfId="3" applyFont="1" applyBorder="1" applyAlignment="1">
      <alignment horizontal="right"/>
    </xf>
    <xf numFmtId="0" fontId="8" fillId="20" borderId="5" xfId="3" applyFont="1" applyFill="1" applyBorder="1" applyAlignment="1">
      <alignment horizontal="left"/>
    </xf>
    <xf numFmtId="0" fontId="9" fillId="20" borderId="5" xfId="3" applyFont="1" applyFill="1" applyBorder="1" applyAlignment="1">
      <alignment horizontal="left"/>
    </xf>
    <xf numFmtId="2" fontId="8" fillId="18" borderId="9" xfId="2" applyNumberFormat="1" applyFont="1" applyFill="1" applyBorder="1" applyAlignment="1">
      <alignment horizontal="right"/>
    </xf>
    <xf numFmtId="0" fontId="9" fillId="7" borderId="0" xfId="0" applyFont="1" applyFill="1" applyAlignment="1">
      <alignment wrapText="1"/>
    </xf>
    <xf numFmtId="0" fontId="8" fillId="7" borderId="1" xfId="0" applyFont="1" applyFill="1" applyBorder="1"/>
    <xf numFmtId="0" fontId="8" fillId="7" borderId="6" xfId="0" applyFont="1" applyFill="1" applyBorder="1"/>
    <xf numFmtId="0" fontId="8" fillId="0" borderId="0" xfId="0" applyFont="1" applyAlignment="1">
      <alignment wrapText="1"/>
    </xf>
    <xf numFmtId="2" fontId="8" fillId="6" borderId="5" xfId="0" applyNumberFormat="1" applyFont="1" applyFill="1" applyBorder="1"/>
    <xf numFmtId="0" fontId="8" fillId="0" borderId="0" xfId="0" applyFont="1"/>
    <xf numFmtId="0" fontId="8" fillId="9" borderId="5" xfId="0" applyFont="1" applyFill="1" applyBorder="1" applyAlignment="1">
      <alignment wrapText="1"/>
    </xf>
    <xf numFmtId="0" fontId="9" fillId="9" borderId="5" xfId="0" applyFont="1" applyFill="1" applyBorder="1" applyAlignment="1">
      <alignment wrapText="1"/>
    </xf>
    <xf numFmtId="0" fontId="9" fillId="9" borderId="5" xfId="0" applyFont="1" applyFill="1" applyBorder="1"/>
    <xf numFmtId="0" fontId="9" fillId="7" borderId="5" xfId="0" applyFont="1" applyFill="1" applyBorder="1" applyAlignment="1">
      <alignment wrapText="1"/>
    </xf>
    <xf numFmtId="0" fontId="8" fillId="7" borderId="5" xfId="0" applyFont="1" applyFill="1" applyBorder="1"/>
    <xf numFmtId="0" fontId="9" fillId="8" borderId="5" xfId="0" applyFont="1" applyFill="1" applyBorder="1" applyAlignment="1">
      <alignment wrapText="1"/>
    </xf>
    <xf numFmtId="0" fontId="8" fillId="8" borderId="5" xfId="0" applyFont="1" applyFill="1" applyBorder="1"/>
    <xf numFmtId="0" fontId="8" fillId="0" borderId="5" xfId="0" applyFont="1" applyBorder="1" applyAlignment="1">
      <alignment wrapText="1"/>
    </xf>
    <xf numFmtId="3" fontId="8" fillId="0" borderId="5" xfId="0" applyNumberFormat="1" applyFont="1" applyBorder="1" applyAlignment="1">
      <alignment wrapText="1"/>
    </xf>
    <xf numFmtId="3" fontId="8" fillId="0" borderId="5" xfId="0" applyNumberFormat="1" applyFont="1" applyBorder="1"/>
    <xf numFmtId="0" fontId="8" fillId="0" borderId="5" xfId="0" applyFont="1" applyBorder="1"/>
    <xf numFmtId="3" fontId="8" fillId="8" borderId="5" xfId="0" applyNumberFormat="1" applyFont="1" applyFill="1" applyBorder="1" applyAlignment="1">
      <alignment wrapText="1"/>
    </xf>
    <xf numFmtId="3" fontId="8" fillId="8" borderId="5" xfId="0" applyNumberFormat="1" applyFont="1" applyFill="1" applyBorder="1"/>
    <xf numFmtId="0" fontId="9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/>
    <xf numFmtId="0" fontId="14" fillId="9" borderId="10" xfId="0" applyFont="1" applyFill="1" applyBorder="1" applyAlignment="1">
      <alignment wrapText="1"/>
    </xf>
    <xf numFmtId="0" fontId="7" fillId="9" borderId="10" xfId="0" applyFont="1" applyFill="1" applyBorder="1"/>
    <xf numFmtId="0" fontId="8" fillId="0" borderId="9" xfId="0" applyFont="1" applyBorder="1" applyAlignment="1">
      <alignment wrapText="1"/>
    </xf>
    <xf numFmtId="3" fontId="8" fillId="0" borderId="9" xfId="0" applyNumberFormat="1" applyFont="1" applyBorder="1"/>
    <xf numFmtId="0" fontId="9" fillId="8" borderId="9" xfId="0" applyFont="1" applyFill="1" applyBorder="1" applyAlignment="1">
      <alignment wrapText="1"/>
    </xf>
    <xf numFmtId="3" fontId="8" fillId="8" borderId="9" xfId="0" applyNumberFormat="1" applyFont="1" applyFill="1" applyBorder="1"/>
    <xf numFmtId="0" fontId="8" fillId="8" borderId="9" xfId="0" applyFont="1" applyFill="1" applyBorder="1"/>
    <xf numFmtId="0" fontId="8" fillId="0" borderId="9" xfId="0" applyFont="1" applyBorder="1"/>
    <xf numFmtId="9" fontId="8" fillId="0" borderId="5" xfId="0" applyNumberFormat="1" applyFont="1" applyBorder="1"/>
    <xf numFmtId="0" fontId="8" fillId="16" borderId="5" xfId="0" applyFont="1" applyFill="1" applyBorder="1"/>
    <xf numFmtId="0" fontId="12" fillId="10" borderId="5" xfId="4" applyFont="1" applyFill="1" applyBorder="1"/>
    <xf numFmtId="0" fontId="16" fillId="16" borderId="4" xfId="4" applyFont="1" applyFill="1" applyBorder="1"/>
    <xf numFmtId="0" fontId="12" fillId="16" borderId="11" xfId="4" applyFont="1" applyFill="1" applyBorder="1"/>
    <xf numFmtId="0" fontId="12" fillId="16" borderId="5" xfId="4" applyFont="1" applyFill="1" applyBorder="1"/>
    <xf numFmtId="0" fontId="12" fillId="0" borderId="5" xfId="4" applyFont="1" applyBorder="1"/>
    <xf numFmtId="0" fontId="16" fillId="16" borderId="5" xfId="4" applyFont="1" applyFill="1" applyBorder="1"/>
    <xf numFmtId="0" fontId="12" fillId="0" borderId="4" xfId="4" applyFont="1" applyBorder="1"/>
    <xf numFmtId="0" fontId="12" fillId="0" borderId="11" xfId="4" applyFont="1" applyBorder="1"/>
    <xf numFmtId="0" fontId="18" fillId="0" borderId="14" xfId="3" applyFont="1" applyBorder="1"/>
    <xf numFmtId="0" fontId="18" fillId="0" borderId="5" xfId="3" applyFont="1" applyBorder="1"/>
    <xf numFmtId="0" fontId="18" fillId="0" borderId="9" xfId="3" applyFont="1" applyBorder="1"/>
    <xf numFmtId="0" fontId="18" fillId="0" borderId="5" xfId="3" applyFont="1" applyBorder="1" applyAlignment="1">
      <alignment horizontal="right"/>
    </xf>
    <xf numFmtId="0" fontId="18" fillId="0" borderId="0" xfId="3" applyFont="1"/>
    <xf numFmtId="0" fontId="18" fillId="0" borderId="22" xfId="3" applyFont="1" applyBorder="1" applyAlignment="1">
      <alignment horizontal="right"/>
    </xf>
    <xf numFmtId="0" fontId="18" fillId="0" borderId="9" xfId="3" applyFont="1" applyBorder="1" applyAlignment="1">
      <alignment horizontal="right"/>
    </xf>
    <xf numFmtId="0" fontId="18" fillId="0" borderId="23" xfId="3" applyFont="1" applyBorder="1"/>
    <xf numFmtId="0" fontId="18" fillId="0" borderId="23" xfId="3" applyFont="1" applyBorder="1" applyAlignment="1">
      <alignment horizontal="right"/>
    </xf>
    <xf numFmtId="3" fontId="18" fillId="0" borderId="14" xfId="3" applyNumberFormat="1" applyFont="1" applyBorder="1"/>
    <xf numFmtId="3" fontId="18" fillId="0" borderId="14" xfId="3" applyNumberFormat="1" applyFont="1" applyBorder="1" applyAlignment="1">
      <alignment horizontal="right"/>
    </xf>
    <xf numFmtId="0" fontId="18" fillId="0" borderId="18" xfId="3" applyFont="1" applyBorder="1"/>
    <xf numFmtId="0" fontId="18" fillId="0" borderId="24" xfId="3" applyFont="1" applyBorder="1"/>
    <xf numFmtId="0" fontId="18" fillId="0" borderId="24" xfId="3" applyFont="1" applyBorder="1" applyAlignment="1">
      <alignment horizontal="right"/>
    </xf>
    <xf numFmtId="0" fontId="18" fillId="0" borderId="27" xfId="3" applyFont="1" applyBorder="1" applyAlignment="1">
      <alignment horizontal="right"/>
    </xf>
    <xf numFmtId="0" fontId="18" fillId="0" borderId="17" xfId="3" applyFont="1" applyBorder="1"/>
    <xf numFmtId="0" fontId="18" fillId="0" borderId="17" xfId="3" applyFont="1" applyBorder="1" applyAlignment="1">
      <alignment horizontal="right"/>
    </xf>
    <xf numFmtId="0" fontId="18" fillId="0" borderId="28" xfId="3" applyFont="1" applyBorder="1" applyAlignment="1">
      <alignment horizontal="right"/>
    </xf>
    <xf numFmtId="0" fontId="22" fillId="0" borderId="0" xfId="3" applyFont="1"/>
    <xf numFmtId="0" fontId="22" fillId="0" borderId="8" xfId="3" applyFont="1" applyBorder="1"/>
    <xf numFmtId="0" fontId="22" fillId="0" borderId="5" xfId="3" applyFont="1" applyBorder="1"/>
    <xf numFmtId="3" fontId="22" fillId="0" borderId="5" xfId="3" applyNumberFormat="1" applyFont="1" applyBorder="1"/>
    <xf numFmtId="0" fontId="22" fillId="0" borderId="22" xfId="3" applyFont="1" applyBorder="1"/>
    <xf numFmtId="0" fontId="24" fillId="0" borderId="0" xfId="3" applyFont="1"/>
    <xf numFmtId="0" fontId="22" fillId="0" borderId="14" xfId="3" applyFont="1" applyBorder="1"/>
    <xf numFmtId="3" fontId="18" fillId="0" borderId="5" xfId="3" applyNumberFormat="1" applyFont="1" applyBorder="1"/>
    <xf numFmtId="3" fontId="18" fillId="0" borderId="5" xfId="3" applyNumberFormat="1" applyFont="1" applyBorder="1" applyAlignment="1">
      <alignment horizontal="right"/>
    </xf>
    <xf numFmtId="0" fontId="12" fillId="0" borderId="0" xfId="4" applyFont="1"/>
    <xf numFmtId="0" fontId="12" fillId="0" borderId="34" xfId="4" applyFont="1" applyBorder="1"/>
    <xf numFmtId="3" fontId="12" fillId="0" borderId="0" xfId="4" applyNumberFormat="1" applyFont="1"/>
    <xf numFmtId="3" fontId="12" fillId="0" borderId="34" xfId="4" applyNumberFormat="1" applyFont="1" applyBorder="1"/>
    <xf numFmtId="0" fontId="12" fillId="0" borderId="36" xfId="4" applyFont="1" applyBorder="1"/>
    <xf numFmtId="0" fontId="12" fillId="0" borderId="37" xfId="4" applyFont="1" applyBorder="1"/>
    <xf numFmtId="0" fontId="8" fillId="0" borderId="29" xfId="0" applyFont="1" applyBorder="1" applyAlignment="1">
      <alignment wrapText="1"/>
    </xf>
    <xf numFmtId="0" fontId="31" fillId="0" borderId="5" xfId="0" applyFont="1" applyBorder="1" applyAlignment="1">
      <alignment wrapText="1"/>
    </xf>
    <xf numFmtId="0" fontId="31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32" fillId="0" borderId="5" xfId="0" applyFont="1" applyBorder="1"/>
    <xf numFmtId="0" fontId="12" fillId="0" borderId="5" xfId="0" applyFont="1" applyBorder="1" applyAlignment="1">
      <alignment wrapText="1"/>
    </xf>
    <xf numFmtId="3" fontId="12" fillId="0" borderId="4" xfId="0" applyNumberFormat="1" applyFont="1" applyBorder="1" applyAlignment="1">
      <alignment wrapText="1"/>
    </xf>
    <xf numFmtId="0" fontId="12" fillId="0" borderId="5" xfId="4" applyFont="1" applyBorder="1" applyAlignment="1">
      <alignment wrapText="1"/>
    </xf>
    <xf numFmtId="3" fontId="12" fillId="0" borderId="5" xfId="4" applyNumberFormat="1" applyFont="1" applyBorder="1"/>
    <xf numFmtId="3" fontId="12" fillId="0" borderId="5" xfId="0" applyNumberFormat="1" applyFont="1" applyBorder="1"/>
    <xf numFmtId="0" fontId="29" fillId="9" borderId="5" xfId="0" applyFont="1" applyFill="1" applyBorder="1" applyAlignment="1">
      <alignment wrapText="1"/>
    </xf>
    <xf numFmtId="3" fontId="0" fillId="0" borderId="0" xfId="0" applyNumberFormat="1"/>
    <xf numFmtId="0" fontId="4" fillId="0" borderId="3" xfId="0" applyFont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5" fillId="7" borderId="0" xfId="0" applyFont="1" applyFill="1" applyAlignment="1">
      <alignment wrapText="1"/>
    </xf>
    <xf numFmtId="0" fontId="4" fillId="7" borderId="0" xfId="0" applyFont="1" applyFill="1"/>
    <xf numFmtId="0" fontId="30" fillId="9" borderId="5" xfId="0" applyFont="1" applyFill="1" applyBorder="1"/>
    <xf numFmtId="0" fontId="5" fillId="8" borderId="5" xfId="0" applyFont="1" applyFill="1" applyBorder="1" applyAlignment="1">
      <alignment wrapText="1"/>
    </xf>
    <xf numFmtId="0" fontId="4" fillId="9" borderId="12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9" borderId="1" xfId="0" applyFont="1" applyFill="1" applyBorder="1"/>
    <xf numFmtId="0" fontId="5" fillId="9" borderId="11" xfId="0" applyFont="1" applyFill="1" applyBorder="1"/>
    <xf numFmtId="0" fontId="4" fillId="7" borderId="1" xfId="0" applyFont="1" applyFill="1" applyBorder="1"/>
    <xf numFmtId="0" fontId="4" fillId="7" borderId="6" xfId="0" applyFont="1" applyFill="1" applyBorder="1"/>
    <xf numFmtId="0" fontId="4" fillId="0" borderId="8" xfId="0" applyFont="1" applyBorder="1" applyAlignment="1">
      <alignment wrapText="1"/>
    </xf>
    <xf numFmtId="2" fontId="4" fillId="2" borderId="7" xfId="0" applyNumberFormat="1" applyFont="1" applyFill="1" applyBorder="1"/>
    <xf numFmtId="2" fontId="4" fillId="2" borderId="5" xfId="0" applyNumberFormat="1" applyFont="1" applyFill="1" applyBorder="1"/>
    <xf numFmtId="2" fontId="4" fillId="7" borderId="0" xfId="0" applyNumberFormat="1" applyFont="1" applyFill="1"/>
    <xf numFmtId="2" fontId="4" fillId="7" borderId="8" xfId="0" applyNumberFormat="1" applyFont="1" applyFill="1" applyBorder="1"/>
    <xf numFmtId="2" fontId="4" fillId="3" borderId="5" xfId="0" applyNumberFormat="1" applyFont="1" applyFill="1" applyBorder="1"/>
    <xf numFmtId="0" fontId="4" fillId="7" borderId="8" xfId="0" applyFont="1" applyFill="1" applyBorder="1"/>
    <xf numFmtId="10" fontId="4" fillId="4" borderId="5" xfId="0" applyNumberFormat="1" applyFont="1" applyFill="1" applyBorder="1"/>
    <xf numFmtId="2" fontId="4" fillId="4" borderId="5" xfId="0" applyNumberFormat="1" applyFont="1" applyFill="1" applyBorder="1"/>
    <xf numFmtId="0" fontId="4" fillId="4" borderId="5" xfId="0" applyFont="1" applyFill="1" applyBorder="1" applyAlignment="1">
      <alignment horizontal="right"/>
    </xf>
    <xf numFmtId="10" fontId="4" fillId="5" borderId="5" xfId="1" applyNumberFormat="1" applyFont="1" applyFill="1" applyBorder="1"/>
    <xf numFmtId="10" fontId="4" fillId="5" borderId="5" xfId="0" applyNumberFormat="1" applyFont="1" applyFill="1" applyBorder="1"/>
    <xf numFmtId="2" fontId="4" fillId="6" borderId="5" xfId="0" applyNumberFormat="1" applyFont="1" applyFill="1" applyBorder="1"/>
    <xf numFmtId="0" fontId="30" fillId="9" borderId="10" xfId="0" applyFont="1" applyFill="1" applyBorder="1"/>
    <xf numFmtId="0" fontId="4" fillId="0" borderId="9" xfId="0" applyFont="1" applyBorder="1" applyAlignment="1">
      <alignment wrapText="1"/>
    </xf>
    <xf numFmtId="0" fontId="5" fillId="8" borderId="9" xfId="0" applyFont="1" applyFill="1" applyBorder="1" applyAlignment="1">
      <alignment wrapText="1"/>
    </xf>
    <xf numFmtId="0" fontId="5" fillId="7" borderId="14" xfId="0" applyFont="1" applyFill="1" applyBorder="1" applyAlignment="1">
      <alignment wrapText="1"/>
    </xf>
    <xf numFmtId="0" fontId="5" fillId="7" borderId="15" xfId="0" applyFont="1" applyFill="1" applyBorder="1" applyAlignment="1">
      <alignment wrapText="1"/>
    </xf>
    <xf numFmtId="0" fontId="5" fillId="9" borderId="5" xfId="0" applyFont="1" applyFill="1" applyBorder="1" applyAlignment="1">
      <alignment wrapText="1"/>
    </xf>
    <xf numFmtId="0" fontId="5" fillId="9" borderId="5" xfId="0" applyFont="1" applyFill="1" applyBorder="1"/>
    <xf numFmtId="9" fontId="4" fillId="0" borderId="5" xfId="0" applyNumberFormat="1" applyFont="1" applyBorder="1"/>
    <xf numFmtId="0" fontId="4" fillId="0" borderId="5" xfId="0" applyFont="1" applyBorder="1"/>
    <xf numFmtId="3" fontId="4" fillId="0" borderId="9" xfId="0" applyNumberFormat="1" applyFont="1" applyBorder="1"/>
    <xf numFmtId="3" fontId="4" fillId="8" borderId="9" xfId="0" applyNumberFormat="1" applyFont="1" applyFill="1" applyBorder="1"/>
    <xf numFmtId="0" fontId="4" fillId="8" borderId="9" xfId="0" applyFont="1" applyFill="1" applyBorder="1"/>
    <xf numFmtId="0" fontId="4" fillId="0" borderId="9" xfId="0" applyFont="1" applyBorder="1"/>
    <xf numFmtId="0" fontId="5" fillId="7" borderId="14" xfId="0" applyFont="1" applyFill="1" applyBorder="1"/>
    <xf numFmtId="0" fontId="5" fillId="7" borderId="15" xfId="0" applyFont="1" applyFill="1" applyBorder="1"/>
    <xf numFmtId="0" fontId="4" fillId="7" borderId="15" xfId="0" applyFont="1" applyFill="1" applyBorder="1"/>
    <xf numFmtId="0" fontId="4" fillId="7" borderId="13" xfId="0" applyFont="1" applyFill="1" applyBorder="1"/>
    <xf numFmtId="0" fontId="4" fillId="9" borderId="5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4" fillId="7" borderId="5" xfId="0" applyFont="1" applyFill="1" applyBorder="1"/>
    <xf numFmtId="0" fontId="4" fillId="8" borderId="5" xfId="0" applyFont="1" applyFill="1" applyBorder="1"/>
    <xf numFmtId="3" fontId="4" fillId="0" borderId="5" xfId="0" applyNumberFormat="1" applyFont="1" applyBorder="1" applyAlignment="1">
      <alignment wrapText="1"/>
    </xf>
    <xf numFmtId="3" fontId="4" fillId="8" borderId="5" xfId="0" applyNumberFormat="1" applyFont="1" applyFill="1" applyBorder="1" applyAlignment="1">
      <alignment wrapText="1"/>
    </xf>
    <xf numFmtId="3" fontId="4" fillId="8" borderId="5" xfId="0" applyNumberFormat="1" applyFont="1" applyFill="1" applyBorder="1"/>
    <xf numFmtId="0" fontId="5" fillId="0" borderId="0" xfId="0" applyFont="1" applyAlignment="1">
      <alignment wrapText="1"/>
    </xf>
    <xf numFmtId="3" fontId="4" fillId="0" borderId="0" xfId="0" applyNumberFormat="1" applyFont="1" applyAlignment="1">
      <alignment wrapText="1"/>
    </xf>
    <xf numFmtId="0" fontId="4" fillId="0" borderId="10" xfId="0" applyFont="1" applyBorder="1" applyAlignment="1">
      <alignment wrapText="1"/>
    </xf>
    <xf numFmtId="3" fontId="4" fillId="0" borderId="10" xfId="0" applyNumberFormat="1" applyFont="1" applyBorder="1"/>
    <xf numFmtId="3" fontId="4" fillId="0" borderId="10" xfId="0" applyNumberFormat="1" applyFont="1" applyBorder="1" applyAlignment="1">
      <alignment wrapText="1"/>
    </xf>
    <xf numFmtId="0" fontId="0" fillId="0" borderId="0" xfId="0" applyAlignment="1">
      <alignment horizontal="left" wrapText="1"/>
    </xf>
    <xf numFmtId="3" fontId="4" fillId="0" borderId="16" xfId="0" applyNumberFormat="1" applyFont="1" applyBorder="1"/>
    <xf numFmtId="0" fontId="0" fillId="0" borderId="5" xfId="0" applyBorder="1"/>
    <xf numFmtId="0" fontId="4" fillId="0" borderId="17" xfId="0" applyFont="1" applyBorder="1" applyAlignment="1">
      <alignment wrapText="1"/>
    </xf>
    <xf numFmtId="3" fontId="0" fillId="0" borderId="5" xfId="0" applyNumberFormat="1" applyBorder="1"/>
    <xf numFmtId="2" fontId="4" fillId="0" borderId="5" xfId="0" applyNumberFormat="1" applyFont="1" applyBorder="1"/>
    <xf numFmtId="2" fontId="0" fillId="13" borderId="0" xfId="0" applyNumberFormat="1" applyFill="1"/>
    <xf numFmtId="0" fontId="5" fillId="8" borderId="11" xfId="0" applyFont="1" applyFill="1" applyBorder="1" applyAlignment="1">
      <alignment wrapText="1"/>
    </xf>
    <xf numFmtId="0" fontId="30" fillId="9" borderId="8" xfId="0" applyFont="1" applyFill="1" applyBorder="1"/>
    <xf numFmtId="3" fontId="4" fillId="0" borderId="13" xfId="0" applyNumberFormat="1" applyFont="1" applyBorder="1"/>
    <xf numFmtId="3" fontId="4" fillId="8" borderId="13" xfId="0" applyNumberFormat="1" applyFont="1" applyFill="1" applyBorder="1"/>
    <xf numFmtId="3" fontId="4" fillId="12" borderId="5" xfId="0" applyNumberFormat="1" applyFont="1" applyFill="1" applyBorder="1"/>
    <xf numFmtId="0" fontId="19" fillId="17" borderId="5" xfId="3" applyFont="1" applyFill="1" applyBorder="1"/>
    <xf numFmtId="0" fontId="19" fillId="17" borderId="5" xfId="3" applyFont="1" applyFill="1" applyBorder="1" applyAlignment="1">
      <alignment horizontal="right"/>
    </xf>
    <xf numFmtId="0" fontId="20" fillId="10" borderId="5" xfId="3" applyFont="1" applyFill="1" applyBorder="1"/>
    <xf numFmtId="0" fontId="22" fillId="10" borderId="5" xfId="3" applyFont="1" applyFill="1" applyBorder="1"/>
    <xf numFmtId="0" fontId="18" fillId="0" borderId="41" xfId="3" applyFont="1" applyBorder="1" applyAlignment="1">
      <alignment horizontal="right"/>
    </xf>
    <xf numFmtId="0" fontId="18" fillId="0" borderId="7" xfId="3" applyFont="1" applyBorder="1" applyAlignment="1">
      <alignment horizontal="right"/>
    </xf>
    <xf numFmtId="0" fontId="18" fillId="11" borderId="17" xfId="3" applyFont="1" applyFill="1" applyBorder="1"/>
    <xf numFmtId="0" fontId="18" fillId="11" borderId="7" xfId="3" applyFont="1" applyFill="1" applyBorder="1"/>
    <xf numFmtId="0" fontId="22" fillId="11" borderId="48" xfId="3" applyFont="1" applyFill="1" applyBorder="1"/>
    <xf numFmtId="0" fontId="18" fillId="11" borderId="5" xfId="3" applyFont="1" applyFill="1" applyBorder="1"/>
    <xf numFmtId="0" fontId="22" fillId="11" borderId="5" xfId="3" applyFont="1" applyFill="1" applyBorder="1"/>
    <xf numFmtId="0" fontId="19" fillId="23" borderId="9" xfId="3" applyFont="1" applyFill="1" applyBorder="1"/>
    <xf numFmtId="0" fontId="18" fillId="11" borderId="24" xfId="3" applyFont="1" applyFill="1" applyBorder="1"/>
    <xf numFmtId="0" fontId="9" fillId="24" borderId="9" xfId="3" applyFont="1" applyFill="1" applyBorder="1"/>
    <xf numFmtId="0" fontId="7" fillId="24" borderId="9" xfId="3" applyFont="1" applyFill="1" applyBorder="1"/>
    <xf numFmtId="0" fontId="7" fillId="24" borderId="24" xfId="3" applyFont="1" applyFill="1" applyBorder="1"/>
    <xf numFmtId="0" fontId="21" fillId="11" borderId="9" xfId="3" applyFont="1" applyFill="1" applyBorder="1"/>
    <xf numFmtId="0" fontId="18" fillId="11" borderId="9" xfId="3" applyFont="1" applyFill="1" applyBorder="1"/>
    <xf numFmtId="0" fontId="21" fillId="11" borderId="5" xfId="3" applyFont="1" applyFill="1" applyBorder="1"/>
    <xf numFmtId="0" fontId="19" fillId="23" borderId="5" xfId="3" applyFont="1" applyFill="1" applyBorder="1"/>
    <xf numFmtId="3" fontId="25" fillId="11" borderId="5" xfId="3" applyNumberFormat="1" applyFont="1" applyFill="1" applyBorder="1"/>
    <xf numFmtId="0" fontId="18" fillId="17" borderId="20" xfId="3" applyFont="1" applyFill="1" applyBorder="1"/>
    <xf numFmtId="0" fontId="19" fillId="17" borderId="20" xfId="3" applyFont="1" applyFill="1" applyBorder="1" applyAlignment="1">
      <alignment horizontal="right"/>
    </xf>
    <xf numFmtId="0" fontId="19" fillId="17" borderId="26" xfId="3" applyFont="1" applyFill="1" applyBorder="1" applyAlignment="1">
      <alignment horizontal="right"/>
    </xf>
    <xf numFmtId="0" fontId="33" fillId="17" borderId="20" xfId="3" applyFont="1" applyFill="1" applyBorder="1"/>
    <xf numFmtId="0" fontId="18" fillId="23" borderId="9" xfId="3" applyFont="1" applyFill="1" applyBorder="1"/>
    <xf numFmtId="0" fontId="19" fillId="23" borderId="9" xfId="3" applyFont="1" applyFill="1" applyBorder="1" applyAlignment="1">
      <alignment horizontal="right"/>
    </xf>
    <xf numFmtId="3" fontId="19" fillId="23" borderId="14" xfId="3" applyNumberFormat="1" applyFont="1" applyFill="1" applyBorder="1"/>
    <xf numFmtId="3" fontId="19" fillId="23" borderId="5" xfId="3" applyNumberFormat="1" applyFont="1" applyFill="1" applyBorder="1"/>
    <xf numFmtId="0" fontId="18" fillId="11" borderId="9" xfId="3" applyFont="1" applyFill="1" applyBorder="1" applyAlignment="1">
      <alignment horizontal="right"/>
    </xf>
    <xf numFmtId="3" fontId="18" fillId="11" borderId="14" xfId="3" applyNumberFormat="1" applyFont="1" applyFill="1" applyBorder="1"/>
    <xf numFmtId="3" fontId="18" fillId="11" borderId="5" xfId="3" applyNumberFormat="1" applyFont="1" applyFill="1" applyBorder="1"/>
    <xf numFmtId="0" fontId="19" fillId="11" borderId="14" xfId="3" applyFont="1" applyFill="1" applyBorder="1" applyAlignment="1">
      <alignment horizontal="right"/>
    </xf>
    <xf numFmtId="0" fontId="19" fillId="11" borderId="5" xfId="3" applyFont="1" applyFill="1" applyBorder="1" applyAlignment="1">
      <alignment horizontal="right"/>
    </xf>
    <xf numFmtId="0" fontId="19" fillId="17" borderId="9" xfId="3" applyFont="1" applyFill="1" applyBorder="1"/>
    <xf numFmtId="0" fontId="19" fillId="17" borderId="25" xfId="3" applyFont="1" applyFill="1" applyBorder="1" applyAlignment="1">
      <alignment horizontal="right"/>
    </xf>
    <xf numFmtId="0" fontId="19" fillId="17" borderId="4" xfId="3" applyFont="1" applyFill="1" applyBorder="1" applyAlignment="1">
      <alignment horizontal="right"/>
    </xf>
    <xf numFmtId="0" fontId="19" fillId="10" borderId="9" xfId="3" applyFont="1" applyFill="1" applyBorder="1"/>
    <xf numFmtId="0" fontId="8" fillId="10" borderId="25" xfId="3" applyFont="1" applyFill="1" applyBorder="1"/>
    <xf numFmtId="0" fontId="8" fillId="10" borderId="5" xfId="3" applyFont="1" applyFill="1" applyBorder="1"/>
    <xf numFmtId="0" fontId="8" fillId="15" borderId="25" xfId="3" applyFont="1" applyFill="1" applyBorder="1"/>
    <xf numFmtId="0" fontId="8" fillId="15" borderId="5" xfId="3" applyFont="1" applyFill="1" applyBorder="1"/>
    <xf numFmtId="0" fontId="8" fillId="25" borderId="25" xfId="3" applyFont="1" applyFill="1" applyBorder="1"/>
    <xf numFmtId="0" fontId="8" fillId="25" borderId="5" xfId="3" applyFont="1" applyFill="1" applyBorder="1"/>
    <xf numFmtId="0" fontId="8" fillId="26" borderId="25" xfId="3" applyFont="1" applyFill="1" applyBorder="1"/>
    <xf numFmtId="0" fontId="8" fillId="26" borderId="5" xfId="3" applyFont="1" applyFill="1" applyBorder="1"/>
    <xf numFmtId="0" fontId="8" fillId="18" borderId="25" xfId="3" applyFont="1" applyFill="1" applyBorder="1"/>
    <xf numFmtId="0" fontId="8" fillId="18" borderId="5" xfId="3" applyFont="1" applyFill="1" applyBorder="1"/>
    <xf numFmtId="10" fontId="8" fillId="29" borderId="25" xfId="3" applyNumberFormat="1" applyFont="1" applyFill="1" applyBorder="1"/>
    <xf numFmtId="10" fontId="8" fillId="29" borderId="5" xfId="3" applyNumberFormat="1" applyFont="1" applyFill="1" applyBorder="1"/>
    <xf numFmtId="10" fontId="8" fillId="19" borderId="25" xfId="3" applyNumberFormat="1" applyFont="1" applyFill="1" applyBorder="1"/>
    <xf numFmtId="10" fontId="8" fillId="19" borderId="5" xfId="3" applyNumberFormat="1" applyFont="1" applyFill="1" applyBorder="1"/>
    <xf numFmtId="10" fontId="27" fillId="19" borderId="25" xfId="3" applyNumberFormat="1" applyFont="1" applyFill="1" applyBorder="1" applyAlignment="1">
      <alignment wrapText="1"/>
    </xf>
    <xf numFmtId="10" fontId="27" fillId="19" borderId="5" xfId="3" applyNumberFormat="1" applyFont="1" applyFill="1" applyBorder="1" applyAlignment="1">
      <alignment wrapText="1"/>
    </xf>
    <xf numFmtId="10" fontId="27" fillId="19" borderId="5" xfId="3" applyNumberFormat="1" applyFont="1" applyFill="1" applyBorder="1"/>
    <xf numFmtId="0" fontId="27" fillId="11" borderId="25" xfId="3" applyFont="1" applyFill="1" applyBorder="1" applyAlignment="1">
      <alignment wrapText="1"/>
    </xf>
    <xf numFmtId="0" fontId="27" fillId="11" borderId="5" xfId="3" applyFont="1" applyFill="1" applyBorder="1" applyAlignment="1">
      <alignment wrapText="1"/>
    </xf>
    <xf numFmtId="0" fontId="27" fillId="11" borderId="5" xfId="3" applyFont="1" applyFill="1" applyBorder="1"/>
    <xf numFmtId="0" fontId="12" fillId="10" borderId="30" xfId="4" applyFont="1" applyFill="1" applyBorder="1"/>
    <xf numFmtId="0" fontId="16" fillId="10" borderId="30" xfId="4" applyFont="1" applyFill="1" applyBorder="1"/>
    <xf numFmtId="0" fontId="16" fillId="10" borderId="0" xfId="4" applyFont="1" applyFill="1"/>
    <xf numFmtId="0" fontId="12" fillId="10" borderId="0" xfId="4" applyFont="1" applyFill="1"/>
    <xf numFmtId="0" fontId="12" fillId="16" borderId="30" xfId="4" applyFont="1" applyFill="1" applyBorder="1"/>
    <xf numFmtId="0" fontId="16" fillId="16" borderId="30" xfId="4" applyFont="1" applyFill="1" applyBorder="1"/>
    <xf numFmtId="0" fontId="16" fillId="10" borderId="4" xfId="4" applyFont="1" applyFill="1" applyBorder="1"/>
    <xf numFmtId="0" fontId="16" fillId="10" borderId="11" xfId="4" applyFont="1" applyFill="1" applyBorder="1"/>
    <xf numFmtId="0" fontId="16" fillId="10" borderId="2" xfId="4" applyFont="1" applyFill="1" applyBorder="1"/>
    <xf numFmtId="0" fontId="12" fillId="0" borderId="2" xfId="4" applyFont="1" applyBorder="1"/>
    <xf numFmtId="0" fontId="12" fillId="0" borderId="4" xfId="0" applyFont="1" applyBorder="1" applyAlignment="1">
      <alignment horizontal="right" wrapText="1"/>
    </xf>
    <xf numFmtId="0" fontId="32" fillId="0" borderId="5" xfId="0" applyFont="1" applyBorder="1" applyAlignment="1">
      <alignment horizontal="right"/>
    </xf>
    <xf numFmtId="2" fontId="8" fillId="6" borderId="5" xfId="0" applyNumberFormat="1" applyFont="1" applyFill="1" applyBorder="1" applyAlignment="1">
      <alignment horizontal="right"/>
    </xf>
    <xf numFmtId="0" fontId="16" fillId="0" borderId="2" xfId="4" applyFont="1" applyBorder="1" applyAlignment="1">
      <alignment horizontal="center"/>
    </xf>
    <xf numFmtId="0" fontId="16" fillId="0" borderId="11" xfId="4" applyFont="1" applyBorder="1"/>
    <xf numFmtId="3" fontId="16" fillId="0" borderId="5" xfId="4" applyNumberFormat="1" applyFont="1" applyBorder="1"/>
    <xf numFmtId="0" fontId="16" fillId="11" borderId="4" xfId="4" applyFont="1" applyFill="1" applyBorder="1"/>
    <xf numFmtId="0" fontId="16" fillId="11" borderId="2" xfId="4" applyFont="1" applyFill="1" applyBorder="1"/>
    <xf numFmtId="0" fontId="16" fillId="11" borderId="11" xfId="4" applyFont="1" applyFill="1" applyBorder="1"/>
    <xf numFmtId="0" fontId="12" fillId="11" borderId="5" xfId="4" applyFont="1" applyFill="1" applyBorder="1"/>
    <xf numFmtId="0" fontId="16" fillId="0" borderId="4" xfId="4" applyFont="1" applyBorder="1" applyAlignment="1">
      <alignment horizontal="left"/>
    </xf>
    <xf numFmtId="3" fontId="16" fillId="11" borderId="5" xfId="4" applyNumberFormat="1" applyFont="1" applyFill="1" applyBorder="1"/>
    <xf numFmtId="0" fontId="12" fillId="11" borderId="11" xfId="4" applyFont="1" applyFill="1" applyBorder="1"/>
    <xf numFmtId="3" fontId="16" fillId="10" borderId="5" xfId="4" applyNumberFormat="1" applyFont="1" applyFill="1" applyBorder="1"/>
    <xf numFmtId="0" fontId="16" fillId="10" borderId="4" xfId="4" applyFont="1" applyFill="1" applyBorder="1" applyAlignment="1">
      <alignment horizontal="center"/>
    </xf>
    <xf numFmtId="0" fontId="16" fillId="10" borderId="2" xfId="4" applyFont="1" applyFill="1" applyBorder="1" applyAlignment="1">
      <alignment horizontal="center"/>
    </xf>
    <xf numFmtId="0" fontId="16" fillId="10" borderId="11" xfId="4" applyFont="1" applyFill="1" applyBorder="1" applyAlignment="1">
      <alignment horizontal="center"/>
    </xf>
    <xf numFmtId="0" fontId="16" fillId="16" borderId="2" xfId="4" applyFont="1" applyFill="1" applyBorder="1"/>
    <xf numFmtId="3" fontId="16" fillId="10" borderId="0" xfId="4" applyNumberFormat="1" applyFont="1" applyFill="1"/>
    <xf numFmtId="3" fontId="16" fillId="10" borderId="34" xfId="4" applyNumberFormat="1" applyFont="1" applyFill="1" applyBorder="1"/>
    <xf numFmtId="3" fontId="16" fillId="10" borderId="30" xfId="4" applyNumberFormat="1" applyFont="1" applyFill="1" applyBorder="1"/>
    <xf numFmtId="0" fontId="9" fillId="9" borderId="30" xfId="0" applyFont="1" applyFill="1" applyBorder="1"/>
    <xf numFmtId="0" fontId="9" fillId="16" borderId="30" xfId="0" applyFont="1" applyFill="1" applyBorder="1"/>
    <xf numFmtId="0" fontId="9" fillId="16" borderId="46" xfId="0" applyFont="1" applyFill="1" applyBorder="1"/>
    <xf numFmtId="0" fontId="7" fillId="7" borderId="29" xfId="0" applyFont="1" applyFill="1" applyBorder="1" applyAlignment="1">
      <alignment wrapText="1"/>
    </xf>
    <xf numFmtId="0" fontId="7" fillId="7" borderId="0" xfId="0" applyFont="1" applyFill="1" applyAlignment="1">
      <alignment wrapText="1"/>
    </xf>
    <xf numFmtId="0" fontId="8" fillId="10" borderId="0" xfId="0" applyFont="1" applyFill="1"/>
    <xf numFmtId="0" fontId="8" fillId="10" borderId="8" xfId="0" applyFont="1" applyFill="1" applyBorder="1"/>
    <xf numFmtId="2" fontId="8" fillId="30" borderId="7" xfId="0" applyNumberFormat="1" applyFont="1" applyFill="1" applyBorder="1"/>
    <xf numFmtId="2" fontId="8" fillId="30" borderId="12" xfId="0" applyNumberFormat="1" applyFont="1" applyFill="1" applyBorder="1"/>
    <xf numFmtId="2" fontId="8" fillId="26" borderId="5" xfId="0" applyNumberFormat="1" applyFont="1" applyFill="1" applyBorder="1"/>
    <xf numFmtId="2" fontId="8" fillId="30" borderId="41" xfId="0" applyNumberFormat="1" applyFont="1" applyFill="1" applyBorder="1"/>
    <xf numFmtId="2" fontId="8" fillId="26" borderId="41" xfId="0" applyNumberFormat="1" applyFont="1" applyFill="1" applyBorder="1"/>
    <xf numFmtId="2" fontId="8" fillId="31" borderId="5" xfId="0" applyNumberFormat="1" applyFont="1" applyFill="1" applyBorder="1" applyAlignment="1">
      <alignment horizontal="right"/>
    </xf>
    <xf numFmtId="0" fontId="9" fillId="9" borderId="41" xfId="0" applyFont="1" applyFill="1" applyBorder="1"/>
    <xf numFmtId="0" fontId="28" fillId="16" borderId="5" xfId="0" applyFont="1" applyFill="1" applyBorder="1"/>
    <xf numFmtId="10" fontId="0" fillId="0" borderId="5" xfId="0" applyNumberFormat="1" applyBorder="1"/>
    <xf numFmtId="0" fontId="5" fillId="34" borderId="5" xfId="0" applyFont="1" applyFill="1" applyBorder="1"/>
    <xf numFmtId="0" fontId="28" fillId="22" borderId="5" xfId="0" applyFont="1" applyFill="1" applyBorder="1"/>
    <xf numFmtId="0" fontId="27" fillId="0" borderId="5" xfId="7" applyFont="1" applyBorder="1" applyAlignment="1">
      <alignment horizontal="left" wrapText="1"/>
    </xf>
    <xf numFmtId="0" fontId="10" fillId="0" borderId="5" xfId="7" applyFont="1" applyBorder="1"/>
    <xf numFmtId="0" fontId="27" fillId="0" borderId="5" xfId="7" applyFont="1" applyBorder="1" applyAlignment="1">
      <alignment wrapText="1"/>
    </xf>
    <xf numFmtId="3" fontId="27" fillId="0" borderId="5" xfId="7" applyNumberFormat="1" applyFont="1" applyBorder="1" applyAlignment="1">
      <alignment wrapText="1"/>
    </xf>
    <xf numFmtId="0" fontId="36" fillId="19" borderId="5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10" fontId="4" fillId="5" borderId="11" xfId="0" applyNumberFormat="1" applyFont="1" applyFill="1" applyBorder="1"/>
    <xf numFmtId="10" fontId="4" fillId="0" borderId="0" xfId="0" applyNumberFormat="1" applyFont="1"/>
    <xf numFmtId="2" fontId="8" fillId="6" borderId="11" xfId="0" applyNumberFormat="1" applyFont="1" applyFill="1" applyBorder="1"/>
    <xf numFmtId="2" fontId="8" fillId="0" borderId="8" xfId="0" applyNumberFormat="1" applyFont="1" applyBorder="1"/>
    <xf numFmtId="10" fontId="8" fillId="0" borderId="8" xfId="0" applyNumberFormat="1" applyFont="1" applyBorder="1"/>
    <xf numFmtId="9" fontId="8" fillId="0" borderId="8" xfId="1" applyFont="1" applyFill="1" applyBorder="1"/>
    <xf numFmtId="10" fontId="4" fillId="0" borderId="8" xfId="0" applyNumberFormat="1" applyFont="1" applyBorder="1"/>
    <xf numFmtId="2" fontId="8" fillId="31" borderId="11" xfId="0" applyNumberFormat="1" applyFont="1" applyFill="1" applyBorder="1" applyAlignment="1">
      <alignment horizontal="right"/>
    </xf>
    <xf numFmtId="2" fontId="8" fillId="30" borderId="6" xfId="0" applyNumberFormat="1" applyFont="1" applyFill="1" applyBorder="1"/>
    <xf numFmtId="2" fontId="8" fillId="30" borderId="51" xfId="0" applyNumberFormat="1" applyFont="1" applyFill="1" applyBorder="1"/>
    <xf numFmtId="0" fontId="17" fillId="7" borderId="0" xfId="0" applyFont="1" applyFill="1"/>
    <xf numFmtId="2" fontId="8" fillId="0" borderId="8" xfId="0" applyNumberFormat="1" applyFont="1" applyBorder="1" applyAlignment="1">
      <alignment horizontal="right"/>
    </xf>
    <xf numFmtId="2" fontId="8" fillId="0" borderId="51" xfId="0" quotePrefix="1" applyNumberFormat="1" applyFont="1" applyBorder="1"/>
    <xf numFmtId="2" fontId="8" fillId="0" borderId="6" xfId="0" applyNumberFormat="1" applyFont="1" applyBorder="1"/>
    <xf numFmtId="2" fontId="8" fillId="6" borderId="11" xfId="1" applyNumberFormat="1" applyFont="1" applyFill="1" applyBorder="1"/>
    <xf numFmtId="2" fontId="8" fillId="6" borderId="5" xfId="1" applyNumberFormat="1" applyFont="1" applyFill="1" applyBorder="1"/>
    <xf numFmtId="2" fontId="8" fillId="5" borderId="11" xfId="1" applyNumberFormat="1" applyFont="1" applyFill="1" applyBorder="1"/>
    <xf numFmtId="2" fontId="8" fillId="5" borderId="5" xfId="1" applyNumberFormat="1" applyFont="1" applyFill="1" applyBorder="1"/>
    <xf numFmtId="2" fontId="8" fillId="5" borderId="11" xfId="0" applyNumberFormat="1" applyFont="1" applyFill="1" applyBorder="1"/>
    <xf numFmtId="2" fontId="8" fillId="5" borderId="5" xfId="0" applyNumberFormat="1" applyFont="1" applyFill="1" applyBorder="1"/>
    <xf numFmtId="10" fontId="8" fillId="11" borderId="9" xfId="2" applyNumberFormat="1" applyFont="1" applyFill="1" applyBorder="1"/>
    <xf numFmtId="3" fontId="19" fillId="11" borderId="9" xfId="3" applyNumberFormat="1" applyFont="1" applyFill="1" applyBorder="1" applyAlignment="1">
      <alignment horizontal="right"/>
    </xf>
    <xf numFmtId="3" fontId="19" fillId="11" borderId="5" xfId="3" applyNumberFormat="1" applyFont="1" applyFill="1" applyBorder="1" applyAlignment="1">
      <alignment horizontal="right"/>
    </xf>
    <xf numFmtId="3" fontId="18" fillId="0" borderId="41" xfId="3" applyNumberFormat="1" applyFont="1" applyBorder="1" applyAlignment="1">
      <alignment horizontal="right"/>
    </xf>
    <xf numFmtId="3" fontId="18" fillId="11" borderId="5" xfId="3" applyNumberFormat="1" applyFont="1" applyFill="1" applyBorder="1" applyAlignment="1">
      <alignment horizontal="right"/>
    </xf>
    <xf numFmtId="3" fontId="19" fillId="23" borderId="5" xfId="3" applyNumberFormat="1" applyFont="1" applyFill="1" applyBorder="1" applyAlignment="1">
      <alignment horizontal="right"/>
    </xf>
    <xf numFmtId="3" fontId="18" fillId="0" borderId="17" xfId="3" applyNumberFormat="1" applyFont="1" applyBorder="1" applyAlignment="1">
      <alignment horizontal="right"/>
    </xf>
    <xf numFmtId="3" fontId="18" fillId="0" borderId="9" xfId="3" applyNumberFormat="1" applyFont="1" applyBorder="1" applyAlignment="1">
      <alignment horizontal="right"/>
    </xf>
    <xf numFmtId="3" fontId="18" fillId="0" borderId="9" xfId="3" applyNumberFormat="1" applyFont="1" applyBorder="1"/>
    <xf numFmtId="3" fontId="22" fillId="0" borderId="0" xfId="3" applyNumberFormat="1" applyFont="1"/>
    <xf numFmtId="0" fontId="7" fillId="16" borderId="5" xfId="0" applyFont="1" applyFill="1" applyBorder="1"/>
    <xf numFmtId="0" fontId="8" fillId="27" borderId="25" xfId="3" applyFont="1" applyFill="1" applyBorder="1" applyAlignment="1">
      <alignment horizontal="right"/>
    </xf>
    <xf numFmtId="0" fontId="8" fillId="27" borderId="5" xfId="3" applyFont="1" applyFill="1" applyBorder="1" applyAlignment="1">
      <alignment horizontal="right"/>
    </xf>
    <xf numFmtId="10" fontId="8" fillId="28" borderId="25" xfId="3" applyNumberFormat="1" applyFont="1" applyFill="1" applyBorder="1"/>
    <xf numFmtId="10" fontId="8" fillId="28" borderId="5" xfId="3" applyNumberFormat="1" applyFont="1" applyFill="1" applyBorder="1"/>
    <xf numFmtId="0" fontId="18" fillId="0" borderId="49" xfId="3" applyFont="1" applyBorder="1"/>
    <xf numFmtId="0" fontId="21" fillId="11" borderId="47" xfId="3" applyFont="1" applyFill="1" applyBorder="1"/>
    <xf numFmtId="0" fontId="23" fillId="0" borderId="5" xfId="3" applyFont="1" applyBorder="1"/>
    <xf numFmtId="0" fontId="19" fillId="0" borderId="0" xfId="3" applyFont="1" applyAlignment="1">
      <alignment horizontal="right"/>
    </xf>
    <xf numFmtId="0" fontId="8" fillId="0" borderId="0" xfId="3" applyFont="1"/>
    <xf numFmtId="0" fontId="8" fillId="0" borderId="0" xfId="3" applyFont="1" applyAlignment="1">
      <alignment horizontal="right"/>
    </xf>
    <xf numFmtId="10" fontId="8" fillId="0" borderId="0" xfId="3" applyNumberFormat="1" applyFont="1"/>
    <xf numFmtId="10" fontId="27" fillId="0" borderId="0" xfId="3" applyNumberFormat="1" applyFont="1" applyAlignment="1">
      <alignment wrapText="1"/>
    </xf>
    <xf numFmtId="0" fontId="27" fillId="0" borderId="0" xfId="3" applyFont="1" applyAlignment="1">
      <alignment wrapText="1"/>
    </xf>
    <xf numFmtId="2" fontId="8" fillId="0" borderId="0" xfId="2" applyNumberFormat="1" applyFont="1"/>
    <xf numFmtId="10" fontId="8" fillId="0" borderId="0" xfId="2" applyNumberFormat="1" applyFont="1"/>
    <xf numFmtId="2" fontId="8" fillId="0" borderId="0" xfId="2" applyNumberFormat="1" applyFont="1" applyAlignment="1">
      <alignment horizontal="right"/>
    </xf>
    <xf numFmtId="3" fontId="16" fillId="10" borderId="7" xfId="4" applyNumberFormat="1" applyFont="1" applyFill="1" applyBorder="1"/>
    <xf numFmtId="3" fontId="37" fillId="11" borderId="0" xfId="4" applyNumberFormat="1" applyFont="1" applyFill="1"/>
    <xf numFmtId="3" fontId="12" fillId="0" borderId="41" xfId="4" applyNumberFormat="1" applyFont="1" applyBorder="1"/>
    <xf numFmtId="0" fontId="38" fillId="0" borderId="0" xfId="4" applyFont="1"/>
    <xf numFmtId="0" fontId="38" fillId="0" borderId="5" xfId="4" applyFont="1" applyBorder="1"/>
    <xf numFmtId="3" fontId="38" fillId="0" borderId="5" xfId="4" applyNumberFormat="1" applyFont="1" applyBorder="1"/>
    <xf numFmtId="3" fontId="16" fillId="10" borderId="53" xfId="4" applyNumberFormat="1" applyFont="1" applyFill="1" applyBorder="1"/>
    <xf numFmtId="0" fontId="12" fillId="0" borderId="7" xfId="4" applyFont="1" applyBorder="1"/>
    <xf numFmtId="0" fontId="37" fillId="10" borderId="5" xfId="4" applyFont="1" applyFill="1" applyBorder="1"/>
    <xf numFmtId="0" fontId="37" fillId="16" borderId="5" xfId="4" applyFont="1" applyFill="1" applyBorder="1"/>
    <xf numFmtId="3" fontId="16" fillId="10" borderId="4" xfId="4" applyNumberFormat="1" applyFont="1" applyFill="1" applyBorder="1"/>
    <xf numFmtId="0" fontId="12" fillId="11" borderId="4" xfId="4" applyFont="1" applyFill="1" applyBorder="1"/>
    <xf numFmtId="3" fontId="12" fillId="0" borderId="4" xfId="4" applyNumberFormat="1" applyFont="1" applyBorder="1"/>
    <xf numFmtId="3" fontId="16" fillId="0" borderId="4" xfId="4" applyNumberFormat="1" applyFont="1" applyBorder="1"/>
    <xf numFmtId="0" fontId="12" fillId="10" borderId="4" xfId="4" applyFont="1" applyFill="1" applyBorder="1"/>
    <xf numFmtId="3" fontId="16" fillId="11" borderId="54" xfId="4" applyNumberFormat="1" applyFont="1" applyFill="1" applyBorder="1"/>
    <xf numFmtId="3" fontId="16" fillId="10" borderId="11" xfId="4" applyNumberFormat="1" applyFont="1" applyFill="1" applyBorder="1"/>
    <xf numFmtId="3" fontId="12" fillId="0" borderId="11" xfId="4" applyNumberFormat="1" applyFont="1" applyBorder="1"/>
    <xf numFmtId="3" fontId="16" fillId="0" borderId="11" xfId="4" applyNumberFormat="1" applyFont="1" applyBorder="1"/>
    <xf numFmtId="0" fontId="12" fillId="10" borderId="11" xfId="4" applyFont="1" applyFill="1" applyBorder="1"/>
    <xf numFmtId="3" fontId="16" fillId="11" borderId="51" xfId="4" applyNumberFormat="1" applyFont="1" applyFill="1" applyBorder="1"/>
    <xf numFmtId="0" fontId="38" fillId="11" borderId="5" xfId="4" applyFont="1" applyFill="1" applyBorder="1"/>
    <xf numFmtId="0" fontId="38" fillId="10" borderId="5" xfId="4" applyFont="1" applyFill="1" applyBorder="1"/>
    <xf numFmtId="0" fontId="16" fillId="16" borderId="11" xfId="4" applyFont="1" applyFill="1" applyBorder="1"/>
    <xf numFmtId="0" fontId="39" fillId="0" borderId="52" xfId="0" applyFont="1" applyBorder="1"/>
    <xf numFmtId="0" fontId="0" fillId="0" borderId="12" xfId="0" applyBorder="1"/>
    <xf numFmtId="2" fontId="8" fillId="13" borderId="21" xfId="2" applyNumberFormat="1" applyFont="1" applyFill="1" applyBorder="1"/>
    <xf numFmtId="2" fontId="8" fillId="15" borderId="55" xfId="2" applyNumberFormat="1" applyFont="1" applyFill="1" applyBorder="1"/>
    <xf numFmtId="10" fontId="4" fillId="6" borderId="5" xfId="0" applyNumberFormat="1" applyFont="1" applyFill="1" applyBorder="1"/>
    <xf numFmtId="0" fontId="4" fillId="0" borderId="1" xfId="0" applyFont="1" applyBorder="1" applyAlignment="1">
      <alignment wrapText="1"/>
    </xf>
    <xf numFmtId="0" fontId="41" fillId="0" borderId="3" xfId="0" applyFont="1" applyBorder="1" applyAlignment="1">
      <alignment wrapText="1"/>
    </xf>
    <xf numFmtId="0" fontId="41" fillId="0" borderId="0" xfId="0" applyFont="1" applyAlignment="1">
      <alignment wrapText="1"/>
    </xf>
    <xf numFmtId="2" fontId="41" fillId="3" borderId="5" xfId="0" applyNumberFormat="1" applyFont="1" applyFill="1" applyBorder="1"/>
    <xf numFmtId="0" fontId="36" fillId="0" borderId="0" xfId="0" applyFont="1" applyAlignment="1">
      <alignment wrapText="1"/>
    </xf>
    <xf numFmtId="0" fontId="0" fillId="16" borderId="5" xfId="0" applyFill="1" applyBorder="1"/>
    <xf numFmtId="0" fontId="0" fillId="10" borderId="5" xfId="0" applyFill="1" applyBorder="1"/>
    <xf numFmtId="2" fontId="0" fillId="10" borderId="5" xfId="0" applyNumberFormat="1" applyFill="1" applyBorder="1"/>
    <xf numFmtId="2" fontId="0" fillId="19" borderId="5" xfId="0" applyNumberFormat="1" applyFill="1" applyBorder="1"/>
    <xf numFmtId="10" fontId="0" fillId="19" borderId="5" xfId="0" applyNumberFormat="1" applyFill="1" applyBorder="1"/>
    <xf numFmtId="10" fontId="0" fillId="18" borderId="5" xfId="0" applyNumberFormat="1" applyFill="1" applyBorder="1"/>
    <xf numFmtId="10" fontId="8" fillId="18" borderId="5" xfId="0" applyNumberFormat="1" applyFont="1" applyFill="1" applyBorder="1"/>
    <xf numFmtId="10" fontId="0" fillId="11" borderId="5" xfId="0" applyNumberFormat="1" applyFill="1" applyBorder="1"/>
    <xf numFmtId="2" fontId="0" fillId="11" borderId="5" xfId="0" applyNumberFormat="1" applyFill="1" applyBorder="1"/>
    <xf numFmtId="0" fontId="0" fillId="11" borderId="5" xfId="0" applyFill="1" applyBorder="1"/>
    <xf numFmtId="2" fontId="0" fillId="13" borderId="5" xfId="0" applyNumberFormat="1" applyFill="1" applyBorder="1"/>
    <xf numFmtId="2" fontId="0" fillId="35" borderId="5" xfId="0" applyNumberFormat="1" applyFill="1" applyBorder="1"/>
    <xf numFmtId="2" fontId="4" fillId="0" borderId="0" xfId="0" applyNumberFormat="1" applyFont="1"/>
    <xf numFmtId="2" fontId="4" fillId="36" borderId="5" xfId="0" applyNumberFormat="1" applyFont="1" applyFill="1" applyBorder="1"/>
    <xf numFmtId="2" fontId="8" fillId="36" borderId="11" xfId="0" applyNumberFormat="1" applyFont="1" applyFill="1" applyBorder="1"/>
    <xf numFmtId="2" fontId="4" fillId="36" borderId="11" xfId="0" applyNumberFormat="1" applyFont="1" applyFill="1" applyBorder="1"/>
    <xf numFmtId="2" fontId="8" fillId="36" borderId="5" xfId="0" applyNumberFormat="1" applyFont="1" applyFill="1" applyBorder="1"/>
    <xf numFmtId="2" fontId="8" fillId="35" borderId="41" xfId="0" applyNumberFormat="1" applyFont="1" applyFill="1" applyBorder="1"/>
    <xf numFmtId="2" fontId="8" fillId="36" borderId="6" xfId="0" applyNumberFormat="1" applyFont="1" applyFill="1" applyBorder="1"/>
    <xf numFmtId="2" fontId="8" fillId="36" borderId="7" xfId="0" applyNumberFormat="1" applyFont="1" applyFill="1" applyBorder="1"/>
    <xf numFmtId="2" fontId="8" fillId="35" borderId="7" xfId="0" applyNumberFormat="1" applyFont="1" applyFill="1" applyBorder="1"/>
    <xf numFmtId="2" fontId="8" fillId="35" borderId="6" xfId="0" applyNumberFormat="1" applyFont="1" applyFill="1" applyBorder="1"/>
    <xf numFmtId="0" fontId="8" fillId="0" borderId="1" xfId="0" applyFont="1" applyBorder="1" applyAlignment="1">
      <alignment wrapText="1"/>
    </xf>
    <xf numFmtId="10" fontId="4" fillId="31" borderId="5" xfId="0" applyNumberFormat="1" applyFont="1" applyFill="1" applyBorder="1"/>
    <xf numFmtId="10" fontId="8" fillId="0" borderId="6" xfId="0" applyNumberFormat="1" applyFont="1" applyBorder="1"/>
    <xf numFmtId="2" fontId="4" fillId="0" borderId="8" xfId="0" applyNumberFormat="1" applyFont="1" applyBorder="1"/>
    <xf numFmtId="10" fontId="8" fillId="0" borderId="9" xfId="2" applyNumberFormat="1" applyFont="1" applyBorder="1"/>
    <xf numFmtId="9" fontId="8" fillId="19" borderId="9" xfId="1" applyFont="1" applyFill="1" applyBorder="1"/>
    <xf numFmtId="0" fontId="8" fillId="35" borderId="9" xfId="2" applyFont="1" applyFill="1" applyBorder="1"/>
    <xf numFmtId="2" fontId="8" fillId="35" borderId="9" xfId="2" applyNumberFormat="1" applyFont="1" applyFill="1" applyBorder="1"/>
    <xf numFmtId="10" fontId="8" fillId="19" borderId="9" xfId="2" applyNumberFormat="1" applyFont="1" applyFill="1" applyBorder="1"/>
    <xf numFmtId="0" fontId="8" fillId="19" borderId="9" xfId="2" applyFont="1" applyFill="1" applyBorder="1"/>
    <xf numFmtId="2" fontId="8" fillId="0" borderId="5" xfId="2" applyNumberFormat="1" applyFont="1" applyBorder="1"/>
    <xf numFmtId="0" fontId="5" fillId="0" borderId="0" xfId="0" applyFont="1" applyAlignment="1">
      <alignment horizontal="center"/>
    </xf>
    <xf numFmtId="0" fontId="5" fillId="0" borderId="0" xfId="5" applyFont="1"/>
    <xf numFmtId="2" fontId="8" fillId="19" borderId="23" xfId="2" applyNumberFormat="1" applyFont="1" applyFill="1" applyBorder="1"/>
    <xf numFmtId="2" fontId="0" fillId="0" borderId="0" xfId="1" applyNumberFormat="1" applyFont="1" applyFill="1" applyBorder="1"/>
    <xf numFmtId="0" fontId="5" fillId="34" borderId="5" xfId="5" applyFont="1" applyFill="1" applyBorder="1"/>
    <xf numFmtId="0" fontId="5" fillId="22" borderId="5" xfId="5" applyFont="1" applyFill="1" applyBorder="1"/>
    <xf numFmtId="0" fontId="5" fillId="32" borderId="5" xfId="0" applyFont="1" applyFill="1" applyBorder="1" applyAlignment="1">
      <alignment horizontal="center"/>
    </xf>
    <xf numFmtId="0" fontId="5" fillId="33" borderId="5" xfId="5" applyFont="1" applyFill="1" applyBorder="1"/>
    <xf numFmtId="2" fontId="0" fillId="0" borderId="5" xfId="1" applyNumberFormat="1" applyFont="1" applyBorder="1"/>
    <xf numFmtId="9" fontId="0" fillId="0" borderId="5" xfId="1" applyFont="1" applyBorder="1"/>
    <xf numFmtId="0" fontId="0" fillId="0" borderId="41" xfId="0" applyBorder="1"/>
    <xf numFmtId="2" fontId="8" fillId="11" borderId="5" xfId="2" applyNumberFormat="1" applyFont="1" applyFill="1" applyBorder="1"/>
    <xf numFmtId="10" fontId="8" fillId="11" borderId="5" xfId="2" applyNumberFormat="1" applyFont="1" applyFill="1" applyBorder="1"/>
    <xf numFmtId="2" fontId="8" fillId="18" borderId="17" xfId="2" applyNumberFormat="1" applyFont="1" applyFill="1" applyBorder="1"/>
    <xf numFmtId="0" fontId="5" fillId="22" borderId="9" xfId="2" applyFont="1" applyFill="1" applyBorder="1"/>
    <xf numFmtId="164" fontId="0" fillId="0" borderId="5" xfId="0" applyNumberFormat="1" applyBorder="1"/>
    <xf numFmtId="0" fontId="5" fillId="0" borderId="0" xfId="0" applyFont="1"/>
    <xf numFmtId="164" fontId="0" fillId="0" borderId="0" xfId="0" applyNumberFormat="1"/>
    <xf numFmtId="2" fontId="8" fillId="0" borderId="0" xfId="5" applyNumberFormat="1" applyFont="1"/>
    <xf numFmtId="2" fontId="18" fillId="0" borderId="9" xfId="3" applyNumberFormat="1" applyFont="1" applyBorder="1"/>
    <xf numFmtId="2" fontId="8" fillId="28" borderId="5" xfId="3" applyNumberFormat="1" applyFont="1" applyFill="1" applyBorder="1"/>
    <xf numFmtId="2" fontId="8" fillId="28" borderId="25" xfId="3" applyNumberFormat="1" applyFont="1" applyFill="1" applyBorder="1"/>
    <xf numFmtId="2" fontId="0" fillId="0" borderId="0" xfId="0" applyNumberFormat="1"/>
    <xf numFmtId="0" fontId="8" fillId="27" borderId="56" xfId="3" applyFont="1" applyFill="1" applyBorder="1" applyAlignment="1">
      <alignment horizontal="right"/>
    </xf>
    <xf numFmtId="0" fontId="8" fillId="0" borderId="29" xfId="3" applyFont="1" applyBorder="1" applyAlignment="1">
      <alignment horizontal="right"/>
    </xf>
    <xf numFmtId="2" fontId="4" fillId="31" borderId="5" xfId="0" applyNumberFormat="1" applyFont="1" applyFill="1" applyBorder="1"/>
    <xf numFmtId="2" fontId="0" fillId="0" borderId="5" xfId="0" applyNumberFormat="1" applyBorder="1"/>
    <xf numFmtId="10" fontId="0" fillId="0" borderId="5" xfId="1" applyNumberFormat="1" applyFont="1" applyBorder="1"/>
    <xf numFmtId="9" fontId="8" fillId="0" borderId="0" xfId="1" applyFont="1" applyFill="1" applyBorder="1"/>
    <xf numFmtId="2" fontId="8" fillId="0" borderId="0" xfId="3" applyNumberFormat="1" applyFont="1"/>
    <xf numFmtId="10" fontId="27" fillId="11" borderId="5" xfId="3" applyNumberFormat="1" applyFont="1" applyFill="1" applyBorder="1" applyAlignment="1">
      <alignment wrapText="1"/>
    </xf>
    <xf numFmtId="0" fontId="8" fillId="35" borderId="57" xfId="2" applyFont="1" applyFill="1" applyBorder="1"/>
    <xf numFmtId="0" fontId="0" fillId="0" borderId="11" xfId="0" applyBorder="1"/>
    <xf numFmtId="10" fontId="27" fillId="11" borderId="5" xfId="3" applyNumberFormat="1" applyFont="1" applyFill="1" applyBorder="1"/>
    <xf numFmtId="10" fontId="27" fillId="11" borderId="25" xfId="3" applyNumberFormat="1" applyFont="1" applyFill="1" applyBorder="1" applyAlignment="1">
      <alignment wrapText="1"/>
    </xf>
    <xf numFmtId="0" fontId="27" fillId="11" borderId="5" xfId="3" applyFont="1" applyFill="1" applyBorder="1" applyAlignment="1">
      <alignment horizontal="right"/>
    </xf>
    <xf numFmtId="0" fontId="27" fillId="11" borderId="25" xfId="3" applyFont="1" applyFill="1" applyBorder="1" applyAlignment="1">
      <alignment horizontal="right" wrapText="1"/>
    </xf>
    <xf numFmtId="0" fontId="0" fillId="18" borderId="5" xfId="0" applyFill="1" applyBorder="1" applyAlignment="1">
      <alignment horizontal="right"/>
    </xf>
    <xf numFmtId="0" fontId="42" fillId="0" borderId="58" xfId="2" applyFont="1" applyBorder="1"/>
    <xf numFmtId="0" fontId="43" fillId="0" borderId="0" xfId="2" applyFont="1"/>
    <xf numFmtId="0" fontId="14" fillId="9" borderId="5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14" fillId="9" borderId="4" xfId="0" applyFont="1" applyFill="1" applyBorder="1" applyAlignment="1">
      <alignment wrapText="1"/>
    </xf>
    <xf numFmtId="0" fontId="14" fillId="9" borderId="2" xfId="0" applyFont="1" applyFill="1" applyBorder="1" applyAlignment="1">
      <alignment wrapText="1"/>
    </xf>
    <xf numFmtId="0" fontId="14" fillId="9" borderId="11" xfId="0" applyFont="1" applyFill="1" applyBorder="1" applyAlignment="1">
      <alignment wrapText="1"/>
    </xf>
    <xf numFmtId="0" fontId="29" fillId="9" borderId="5" xfId="0" applyFont="1" applyFill="1" applyBorder="1" applyAlignment="1">
      <alignment wrapText="1"/>
    </xf>
    <xf numFmtId="0" fontId="29" fillId="9" borderId="4" xfId="0" applyFont="1" applyFill="1" applyBorder="1" applyAlignment="1">
      <alignment wrapText="1"/>
    </xf>
    <xf numFmtId="0" fontId="29" fillId="9" borderId="2" xfId="0" applyFont="1" applyFill="1" applyBorder="1" applyAlignment="1">
      <alignment wrapText="1"/>
    </xf>
    <xf numFmtId="0" fontId="29" fillId="9" borderId="11" xfId="0" applyFont="1" applyFill="1" applyBorder="1" applyAlignment="1">
      <alignment wrapText="1"/>
    </xf>
    <xf numFmtId="0" fontId="30" fillId="9" borderId="5" xfId="0" applyFont="1" applyFill="1" applyBorder="1" applyAlignment="1">
      <alignment wrapText="1"/>
    </xf>
    <xf numFmtId="0" fontId="7" fillId="9" borderId="4" xfId="0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center" wrapText="1"/>
    </xf>
    <xf numFmtId="0" fontId="7" fillId="9" borderId="11" xfId="0" applyFont="1" applyFill="1" applyBorder="1" applyAlignment="1">
      <alignment horizontal="center" wrapText="1"/>
    </xf>
    <xf numFmtId="0" fontId="16" fillId="0" borderId="5" xfId="4" applyFont="1" applyBorder="1"/>
    <xf numFmtId="0" fontId="16" fillId="11" borderId="5" xfId="4" applyFont="1" applyFill="1" applyBorder="1"/>
    <xf numFmtId="0" fontId="12" fillId="0" borderId="5" xfId="4" applyFont="1" applyBorder="1"/>
    <xf numFmtId="0" fontId="12" fillId="0" borderId="3" xfId="4" applyFont="1" applyBorder="1"/>
    <xf numFmtId="0" fontId="12" fillId="0" borderId="0" xfId="4" applyFont="1"/>
    <xf numFmtId="0" fontId="14" fillId="9" borderId="3" xfId="0" applyFont="1" applyFill="1" applyBorder="1" applyAlignment="1">
      <alignment horizontal="center" wrapText="1"/>
    </xf>
    <xf numFmtId="0" fontId="14" fillId="9" borderId="0" xfId="0" applyFont="1" applyFill="1" applyAlignment="1">
      <alignment horizontal="center" wrapText="1"/>
    </xf>
    <xf numFmtId="0" fontId="14" fillId="9" borderId="34" xfId="0" applyFont="1" applyFill="1" applyBorder="1" applyAlignment="1">
      <alignment horizontal="center" wrapText="1"/>
    </xf>
    <xf numFmtId="0" fontId="16" fillId="16" borderId="5" xfId="4" applyFont="1" applyFill="1" applyBorder="1"/>
    <xf numFmtId="0" fontId="14" fillId="9" borderId="5" xfId="0" applyFont="1" applyFill="1" applyBorder="1" applyAlignment="1">
      <alignment horizontal="center" wrapText="1"/>
    </xf>
    <xf numFmtId="0" fontId="14" fillId="9" borderId="41" xfId="0" applyFont="1" applyFill="1" applyBorder="1" applyAlignment="1">
      <alignment horizontal="center" wrapText="1"/>
    </xf>
    <xf numFmtId="0" fontId="14" fillId="9" borderId="42" xfId="0" applyFont="1" applyFill="1" applyBorder="1" applyAlignment="1">
      <alignment horizontal="center" wrapText="1"/>
    </xf>
    <xf numFmtId="0" fontId="14" fillId="9" borderId="43" xfId="0" applyFont="1" applyFill="1" applyBorder="1" applyAlignment="1">
      <alignment horizontal="center" wrapText="1"/>
    </xf>
    <xf numFmtId="0" fontId="14" fillId="9" borderId="44" xfId="0" applyFont="1" applyFill="1" applyBorder="1" applyAlignment="1">
      <alignment horizontal="center" wrapText="1"/>
    </xf>
    <xf numFmtId="0" fontId="16" fillId="10" borderId="38" xfId="4" applyFont="1" applyFill="1" applyBorder="1"/>
    <xf numFmtId="0" fontId="16" fillId="10" borderId="39" xfId="4" applyFont="1" applyFill="1" applyBorder="1"/>
    <xf numFmtId="0" fontId="16" fillId="10" borderId="40" xfId="4" applyFont="1" applyFill="1" applyBorder="1"/>
    <xf numFmtId="0" fontId="12" fillId="0" borderId="35" xfId="4" applyFont="1" applyBorder="1"/>
    <xf numFmtId="0" fontId="12" fillId="0" borderId="36" xfId="4" applyFont="1" applyBorder="1"/>
    <xf numFmtId="0" fontId="16" fillId="16" borderId="38" xfId="4" applyFont="1" applyFill="1" applyBorder="1"/>
    <xf numFmtId="0" fontId="16" fillId="16" borderId="39" xfId="4" applyFont="1" applyFill="1" applyBorder="1"/>
    <xf numFmtId="0" fontId="16" fillId="16" borderId="40" xfId="4" applyFont="1" applyFill="1" applyBorder="1"/>
    <xf numFmtId="0" fontId="16" fillId="10" borderId="3" xfId="4" applyFont="1" applyFill="1" applyBorder="1"/>
    <xf numFmtId="0" fontId="16" fillId="10" borderId="0" xfId="4" applyFont="1" applyFill="1"/>
    <xf numFmtId="0" fontId="12" fillId="0" borderId="5" xfId="4" applyFont="1" applyBorder="1" applyAlignment="1">
      <alignment horizontal="left"/>
    </xf>
    <xf numFmtId="0" fontId="16" fillId="0" borderId="5" xfId="4" applyFont="1" applyBorder="1" applyAlignment="1">
      <alignment horizontal="left"/>
    </xf>
    <xf numFmtId="0" fontId="12" fillId="0" borderId="5" xfId="4" applyFont="1" applyBorder="1" applyAlignment="1">
      <alignment horizontal="left" wrapText="1"/>
    </xf>
    <xf numFmtId="0" fontId="14" fillId="9" borderId="31" xfId="0" applyFont="1" applyFill="1" applyBorder="1" applyAlignment="1">
      <alignment horizontal="center" wrapText="1"/>
    </xf>
    <xf numFmtId="0" fontId="14" fillId="9" borderId="32" xfId="0" applyFont="1" applyFill="1" applyBorder="1" applyAlignment="1">
      <alignment horizontal="center" wrapText="1"/>
    </xf>
    <xf numFmtId="0" fontId="14" fillId="9" borderId="33" xfId="0" applyFont="1" applyFill="1" applyBorder="1" applyAlignment="1">
      <alignment horizontal="center" wrapText="1"/>
    </xf>
    <xf numFmtId="0" fontId="12" fillId="0" borderId="5" xfId="4" applyFont="1" applyBorder="1" applyAlignment="1">
      <alignment wrapText="1"/>
    </xf>
    <xf numFmtId="0" fontId="16" fillId="10" borderId="5" xfId="4" applyFont="1" applyFill="1" applyBorder="1"/>
    <xf numFmtId="0" fontId="7" fillId="7" borderId="4" xfId="0" applyFont="1" applyFill="1" applyBorder="1" applyAlignment="1">
      <alignment horizontal="left" wrapText="1"/>
    </xf>
    <xf numFmtId="0" fontId="7" fillId="7" borderId="2" xfId="0" applyFont="1" applyFill="1" applyBorder="1" applyAlignment="1">
      <alignment horizontal="left" wrapText="1"/>
    </xf>
    <xf numFmtId="0" fontId="9" fillId="7" borderId="2" xfId="0" applyFont="1" applyFill="1" applyBorder="1" applyAlignment="1">
      <alignment horizontal="left" wrapText="1"/>
    </xf>
    <xf numFmtId="0" fontId="9" fillId="7" borderId="50" xfId="0" applyFont="1" applyFill="1" applyBorder="1" applyAlignment="1">
      <alignment horizontal="left" wrapText="1"/>
    </xf>
    <xf numFmtId="0" fontId="9" fillId="7" borderId="11" xfId="0" applyFont="1" applyFill="1" applyBorder="1" applyAlignment="1">
      <alignment horizontal="left" wrapText="1"/>
    </xf>
    <xf numFmtId="0" fontId="7" fillId="7" borderId="29" xfId="0" applyFont="1" applyFill="1" applyBorder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9" fillId="7" borderId="8" xfId="0" applyFont="1" applyFill="1" applyBorder="1" applyAlignment="1">
      <alignment horizontal="left" wrapText="1"/>
    </xf>
    <xf numFmtId="0" fontId="7" fillId="7" borderId="8" xfId="0" applyFont="1" applyFill="1" applyBorder="1" applyAlignment="1">
      <alignment horizontal="left" wrapText="1"/>
    </xf>
    <xf numFmtId="0" fontId="8" fillId="9" borderId="45" xfId="0" applyFont="1" applyFill="1" applyBorder="1" applyAlignment="1">
      <alignment horizontal="center" wrapText="1"/>
    </xf>
    <xf numFmtId="0" fontId="8" fillId="9" borderId="39" xfId="0" applyFont="1" applyFill="1" applyBorder="1" applyAlignment="1">
      <alignment horizontal="center" wrapText="1"/>
    </xf>
    <xf numFmtId="0" fontId="8" fillId="9" borderId="40" xfId="0" applyFont="1" applyFill="1" applyBorder="1" applyAlignment="1">
      <alignment horizontal="center" wrapText="1"/>
    </xf>
    <xf numFmtId="0" fontId="18" fillId="0" borderId="14" xfId="3" applyFont="1" applyBorder="1"/>
    <xf numFmtId="0" fontId="26" fillId="0" borderId="13" xfId="3" applyFont="1" applyBorder="1"/>
    <xf numFmtId="0" fontId="35" fillId="21" borderId="5" xfId="7" applyFont="1" applyFill="1" applyBorder="1" applyAlignment="1">
      <alignment horizontal="center"/>
    </xf>
    <xf numFmtId="0" fontId="10" fillId="16" borderId="5" xfId="7" applyFont="1" applyFill="1" applyBorder="1"/>
    <xf numFmtId="0" fontId="8" fillId="0" borderId="14" xfId="2" applyFont="1" applyBorder="1"/>
    <xf numFmtId="0" fontId="10" fillId="0" borderId="13" xfId="2" applyFont="1" applyBorder="1"/>
    <xf numFmtId="0" fontId="7" fillId="21" borderId="5" xfId="3" applyFont="1" applyFill="1" applyBorder="1" applyAlignment="1">
      <alignment horizontal="left"/>
    </xf>
    <xf numFmtId="0" fontId="13" fillId="16" borderId="5" xfId="3" applyFont="1" applyFill="1" applyBorder="1" applyAlignment="1">
      <alignment horizontal="left"/>
    </xf>
    <xf numFmtId="10" fontId="8" fillId="5" borderId="11" xfId="0" applyNumberFormat="1" applyFont="1" applyFill="1" applyBorder="1"/>
    <xf numFmtId="10" fontId="8" fillId="5" borderId="5" xfId="0" applyNumberFormat="1" applyFont="1" applyFill="1" applyBorder="1"/>
  </cellXfs>
  <cellStyles count="9">
    <cellStyle name="Normal" xfId="0" builtinId="0"/>
    <cellStyle name="Normal 2" xfId="2" xr:uid="{B415662E-5F04-49DC-943B-A71211DD4F98}"/>
    <cellStyle name="Normal 2 2" xfId="4" xr:uid="{AD34EFF7-EE62-4EB4-8266-4A4D05773FD6}"/>
    <cellStyle name="Normal 2 3" xfId="5" xr:uid="{A3769ED9-1B5A-4C3B-A3F0-D9129ECC91E0}"/>
    <cellStyle name="Normal 3" xfId="3" xr:uid="{7D1378A1-CD3E-4654-8283-814FB6E5913C}"/>
    <cellStyle name="Normal 4" xfId="7" xr:uid="{F1F972AE-FF16-4C6C-8F1C-9A463492D300}"/>
    <cellStyle name="Normal 4 2" xfId="8" xr:uid="{4D0AEFEB-2482-4D24-8942-86C60F1302F4}"/>
    <cellStyle name="Percent" xfId="1" builtinId="5"/>
    <cellStyle name="Percent 2" xfId="6" xr:uid="{95405A73-CD07-4245-80EA-8F54B358DEA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0F7B706-751C-4F6A-B356-F816FDF6D73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BD7FEAC-CF5C-4578-898C-2D677613CDD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graphs'!$A$4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graphs'!$B$4:$F$4</c:f>
              <c:numCache>
                <c:formatCode>General</c:formatCode>
                <c:ptCount val="5"/>
                <c:pt idx="0">
                  <c:v>1.59</c:v>
                </c:pt>
                <c:pt idx="1">
                  <c:v>1.4650000000000001</c:v>
                </c:pt>
                <c:pt idx="2">
                  <c:v>1.2949999999999999</c:v>
                </c:pt>
                <c:pt idx="3">
                  <c:v>1.44</c:v>
                </c:pt>
                <c:pt idx="4">
                  <c:v>1.2350000000000001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4-415C-9C3E-F19F3A3114DC}"/>
            </c:ext>
          </c:extLst>
        </c:ser>
        <c:ser>
          <c:idx val="1"/>
          <c:order val="1"/>
          <c:tx>
            <c:strRef>
              <c:f>'Industry Averages and graphs'!$A$5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graphs'!$B$5:$F$5</c:f>
              <c:numCache>
                <c:formatCode>0.00</c:formatCode>
                <c:ptCount val="5"/>
                <c:pt idx="0">
                  <c:v>1.0629626000000001</c:v>
                </c:pt>
                <c:pt idx="1">
                  <c:v>0.80559977299999996</c:v>
                </c:pt>
                <c:pt idx="2">
                  <c:v>0.69837660219999997</c:v>
                </c:pt>
                <c:pt idx="3">
                  <c:v>0.68765880710000005</c:v>
                </c:pt>
                <c:pt idx="4">
                  <c:v>0.68852884029999994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4-415C-9C3E-F19F3A311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445055"/>
        <c:axId val="1391446495"/>
      </c:lineChart>
      <c:catAx>
        <c:axId val="13914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46495"/>
        <c:crosses val="autoZero"/>
        <c:auto val="1"/>
        <c:lblAlgn val="ctr"/>
        <c:lblOffset val="100"/>
        <c:noMultiLvlLbl val="0"/>
      </c:catAx>
      <c:valAx>
        <c:axId val="13914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graphs'!$A$9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graphs'!$B$9:$F$9</c:f>
              <c:numCache>
                <c:formatCode>General</c:formatCode>
                <c:ptCount val="5"/>
                <c:pt idx="0">
                  <c:v>1.18</c:v>
                </c:pt>
                <c:pt idx="1">
                  <c:v>0.99</c:v>
                </c:pt>
                <c:pt idx="2">
                  <c:v>0.65</c:v>
                </c:pt>
                <c:pt idx="3">
                  <c:v>0.92</c:v>
                </c:pt>
                <c:pt idx="4">
                  <c:v>0.755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C-4425-9BD1-16149F79CABB}"/>
            </c:ext>
          </c:extLst>
        </c:ser>
        <c:ser>
          <c:idx val="1"/>
          <c:order val="1"/>
          <c:tx>
            <c:strRef>
              <c:f>'Industry Averages and graphs'!$A$10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graphs'!$B$10:$F$10</c:f>
              <c:numCache>
                <c:formatCode>0.00</c:formatCode>
                <c:ptCount val="5"/>
                <c:pt idx="0">
                  <c:v>0.59</c:v>
                </c:pt>
                <c:pt idx="1">
                  <c:v>0.35</c:v>
                </c:pt>
                <c:pt idx="2">
                  <c:v>0.2</c:v>
                </c:pt>
                <c:pt idx="3">
                  <c:v>0.22</c:v>
                </c:pt>
                <c:pt idx="4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C-4425-9BD1-16149F79C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484415"/>
        <c:axId val="1216484895"/>
      </c:lineChart>
      <c:catAx>
        <c:axId val="12164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84895"/>
        <c:crosses val="autoZero"/>
        <c:auto val="1"/>
        <c:lblAlgn val="ctr"/>
        <c:lblOffset val="100"/>
        <c:noMultiLvlLbl val="0"/>
      </c:catAx>
      <c:valAx>
        <c:axId val="121648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8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Turnover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graphs'!$A$22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graphs'!$B$22:$F$22</c:f>
              <c:numCache>
                <c:formatCode>General</c:formatCode>
                <c:ptCount val="5"/>
                <c:pt idx="0">
                  <c:v>8.33</c:v>
                </c:pt>
                <c:pt idx="1">
                  <c:v>10.06</c:v>
                </c:pt>
                <c:pt idx="2">
                  <c:v>4.5869999999999997</c:v>
                </c:pt>
                <c:pt idx="3">
                  <c:v>4.8</c:v>
                </c:pt>
                <c:pt idx="4">
                  <c:v>5.1779999999999999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F-4AF5-85CD-4E26F2374DD3}"/>
            </c:ext>
          </c:extLst>
        </c:ser>
        <c:ser>
          <c:idx val="1"/>
          <c:order val="1"/>
          <c:tx>
            <c:strRef>
              <c:f>'Industry Averages and graphs'!$A$23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graphs'!$B$23:$F$23</c:f>
              <c:numCache>
                <c:formatCode>0.00</c:formatCode>
                <c:ptCount val="5"/>
                <c:pt idx="0">
                  <c:v>5.32</c:v>
                </c:pt>
                <c:pt idx="1">
                  <c:v>4.37</c:v>
                </c:pt>
                <c:pt idx="2">
                  <c:v>3.65</c:v>
                </c:pt>
                <c:pt idx="3">
                  <c:v>3.37</c:v>
                </c:pt>
                <c:pt idx="4">
                  <c:v>4.8600000000000003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F-4AF5-85CD-4E26F2374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007343"/>
        <c:axId val="1305014543"/>
      </c:lineChart>
      <c:catAx>
        <c:axId val="130500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14543"/>
        <c:crosses val="autoZero"/>
        <c:auto val="1"/>
        <c:lblAlgn val="ctr"/>
        <c:lblOffset val="100"/>
        <c:noMultiLvlLbl val="0"/>
      </c:catAx>
      <c:valAx>
        <c:axId val="13050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</a:t>
            </a:r>
            <a:r>
              <a:rPr lang="en-US" baseline="0"/>
              <a:t> Sales Outstanding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graphs'!$A$28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graphs'!$B$27:$F$27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graphs'!$B$28:$F$28</c:f>
              <c:numCache>
                <c:formatCode>General</c:formatCode>
                <c:ptCount val="5"/>
                <c:pt idx="0">
                  <c:v>7.78</c:v>
                </c:pt>
                <c:pt idx="1">
                  <c:v>9.56</c:v>
                </c:pt>
                <c:pt idx="2">
                  <c:v>9.7349999999999994</c:v>
                </c:pt>
                <c:pt idx="3">
                  <c:v>12.02</c:v>
                </c:pt>
                <c:pt idx="4">
                  <c:v>11.08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4-4F4E-8609-A0D914D5FDE3}"/>
            </c:ext>
          </c:extLst>
        </c:ser>
        <c:ser>
          <c:idx val="1"/>
          <c:order val="1"/>
          <c:tx>
            <c:strRef>
              <c:f>'Industry Averages and graphs'!$A$29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graphs'!$B$27:$F$27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graphs'!$B$29:$F$29</c:f>
              <c:numCache>
                <c:formatCode>0.00</c:formatCode>
                <c:ptCount val="5"/>
                <c:pt idx="0">
                  <c:v>34.044404729999997</c:v>
                </c:pt>
                <c:pt idx="1">
                  <c:v>45.533193300000001</c:v>
                </c:pt>
                <c:pt idx="2">
                  <c:v>28.818758920000001</c:v>
                </c:pt>
                <c:pt idx="3">
                  <c:v>44.565694649999998</c:v>
                </c:pt>
                <c:pt idx="4">
                  <c:v>50.165477899999999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F4-4F4E-8609-A0D914D5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642783"/>
        <c:axId val="1392642303"/>
      </c:lineChart>
      <c:catAx>
        <c:axId val="139264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42303"/>
        <c:crosses val="autoZero"/>
        <c:auto val="1"/>
        <c:lblAlgn val="ctr"/>
        <c:lblOffset val="100"/>
        <c:noMultiLvlLbl val="0"/>
      </c:catAx>
      <c:valAx>
        <c:axId val="139264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4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Asset Turnover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graphs'!$A$34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graphs'!$B$33:$F$33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graphs'!$B$34:$F$34</c:f>
              <c:numCache>
                <c:formatCode>0.000</c:formatCode>
                <c:ptCount val="5"/>
                <c:pt idx="0">
                  <c:v>1.0770645186806902</c:v>
                </c:pt>
                <c:pt idx="1">
                  <c:v>1.021013920757242</c:v>
                </c:pt>
                <c:pt idx="2">
                  <c:v>0.94020428911149401</c:v>
                </c:pt>
                <c:pt idx="3">
                  <c:v>1.1270097529325336</c:v>
                </c:pt>
                <c:pt idx="4">
                  <c:v>1.1946725238292688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8-4FEC-944D-278F0FA7F310}"/>
            </c:ext>
          </c:extLst>
        </c:ser>
        <c:ser>
          <c:idx val="1"/>
          <c:order val="1"/>
          <c:tx>
            <c:strRef>
              <c:f>'Industry Averages and graphs'!$A$35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graphs'!$B$33:$F$33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graphs'!$B$35:$F$35</c:f>
              <c:numCache>
                <c:formatCode>0.00</c:formatCode>
                <c:ptCount val="5"/>
                <c:pt idx="0">
                  <c:v>0.72691780859999999</c:v>
                </c:pt>
                <c:pt idx="1">
                  <c:v>0.49864982219999998</c:v>
                </c:pt>
                <c:pt idx="2">
                  <c:v>0.47266753569999997</c:v>
                </c:pt>
                <c:pt idx="3">
                  <c:v>0.56275317940000003</c:v>
                </c:pt>
                <c:pt idx="4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8-4FEC-944D-278F0FA7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953183"/>
        <c:axId val="1382959903"/>
      </c:lineChart>
      <c:catAx>
        <c:axId val="138295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59903"/>
        <c:crosses val="autoZero"/>
        <c:auto val="1"/>
        <c:lblAlgn val="ctr"/>
        <c:lblOffset val="100"/>
        <c:noMultiLvlLbl val="0"/>
      </c:catAx>
      <c:valAx>
        <c:axId val="138295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5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</a:t>
            </a:r>
            <a:r>
              <a:rPr lang="en-US" baseline="0"/>
              <a:t> Asset Turnover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graphs'!$A$39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graphs'!$B$39:$F$39</c:f>
              <c:numCache>
                <c:formatCode>0.000</c:formatCode>
                <c:ptCount val="5"/>
                <c:pt idx="0">
                  <c:v>2.6766570772967802</c:v>
                </c:pt>
                <c:pt idx="1">
                  <c:v>2.522147973685847</c:v>
                </c:pt>
                <c:pt idx="2">
                  <c:v>2.8279751133228808</c:v>
                </c:pt>
                <c:pt idx="3">
                  <c:v>3.9306734685060083</c:v>
                </c:pt>
                <c:pt idx="4">
                  <c:v>4.4083070983988444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E-4916-B111-FA4CF2F58AE2}"/>
            </c:ext>
          </c:extLst>
        </c:ser>
        <c:ser>
          <c:idx val="1"/>
          <c:order val="1"/>
          <c:tx>
            <c:strRef>
              <c:f>'Industry Averages and graphs'!$A$40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graphs'!$B$40:$F$40</c:f>
              <c:numCache>
                <c:formatCode>0.00</c:formatCode>
                <c:ptCount val="5"/>
                <c:pt idx="0">
                  <c:v>1.77</c:v>
                </c:pt>
                <c:pt idx="1">
                  <c:v>1.1100000000000001</c:v>
                </c:pt>
                <c:pt idx="2">
                  <c:v>0.84</c:v>
                </c:pt>
                <c:pt idx="3">
                  <c:v>1.1399999999999999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E-4916-B111-FA4CF2F5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229359"/>
        <c:axId val="2085227919"/>
      </c:lineChart>
      <c:catAx>
        <c:axId val="20852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7919"/>
        <c:crosses val="autoZero"/>
        <c:auto val="1"/>
        <c:lblAlgn val="ctr"/>
        <c:lblOffset val="100"/>
        <c:noMultiLvlLbl val="0"/>
      </c:catAx>
      <c:valAx>
        <c:axId val="208522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</a:t>
            </a:r>
            <a:r>
              <a:rPr lang="en-US" baseline="0"/>
              <a:t> To Capital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graphs'!$A$76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graphs'!$B$75:$F$75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graphs'!$B$76:$F$76</c:f>
              <c:numCache>
                <c:formatCode>0.00</c:formatCode>
                <c:ptCount val="5"/>
                <c:pt idx="0">
                  <c:v>0.4330205505061141</c:v>
                </c:pt>
                <c:pt idx="1">
                  <c:v>0.45201539334901353</c:v>
                </c:pt>
                <c:pt idx="2">
                  <c:v>0.51743541178743713</c:v>
                </c:pt>
                <c:pt idx="3">
                  <c:v>0.4179048368250623</c:v>
                </c:pt>
                <c:pt idx="4">
                  <c:v>0.52019061522547494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7-4C67-8957-D4E5E40C4506}"/>
            </c:ext>
          </c:extLst>
        </c:ser>
        <c:ser>
          <c:idx val="1"/>
          <c:order val="1"/>
          <c:tx>
            <c:strRef>
              <c:f>'Industry Averages and graphs'!$A$77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graphs'!$B$75:$F$75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graphs'!$B$77:$F$77</c:f>
              <c:numCache>
                <c:formatCode>0.00</c:formatCode>
                <c:ptCount val="5"/>
                <c:pt idx="0">
                  <c:v>0.74950507229999996</c:v>
                </c:pt>
                <c:pt idx="1">
                  <c:v>1.0176609679999999</c:v>
                </c:pt>
                <c:pt idx="2">
                  <c:v>1.5366964519999999</c:v>
                </c:pt>
                <c:pt idx="3">
                  <c:v>1.8120345659999999</c:v>
                </c:pt>
                <c:pt idx="4">
                  <c:v>3.4682526619999998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7-4C67-8957-D4E5E40C4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637503"/>
        <c:axId val="1392643263"/>
      </c:lineChart>
      <c:catAx>
        <c:axId val="13926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43263"/>
        <c:crosses val="autoZero"/>
        <c:auto val="1"/>
        <c:lblAlgn val="ctr"/>
        <c:lblOffset val="100"/>
        <c:noMultiLvlLbl val="0"/>
      </c:catAx>
      <c:valAx>
        <c:axId val="13926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</a:t>
            </a:r>
            <a:r>
              <a:rPr lang="en-US" baseline="0"/>
              <a:t> On Equity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graphs'!$A$116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graphs'!$B$115:$F$115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graphs'!$B$116:$F$116</c:f>
              <c:numCache>
                <c:formatCode>0%</c:formatCode>
                <c:ptCount val="5"/>
                <c:pt idx="0">
                  <c:v>6.4350000000000004E-2</c:v>
                </c:pt>
                <c:pt idx="1">
                  <c:v>4.9199999999999994E-2</c:v>
                </c:pt>
                <c:pt idx="2">
                  <c:v>7.3650000000000007E-2</c:v>
                </c:pt>
                <c:pt idx="3">
                  <c:v>0.18795000000000001</c:v>
                </c:pt>
                <c:pt idx="4">
                  <c:v>1.3925000000000007E-2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7-4D20-A36F-05A90E07B933}"/>
            </c:ext>
          </c:extLst>
        </c:ser>
        <c:ser>
          <c:idx val="1"/>
          <c:order val="1"/>
          <c:tx>
            <c:strRef>
              <c:f>'Industry Averages and graphs'!$A$117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graphs'!$B$115:$F$115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graphs'!$B$117:$F$117</c:f>
              <c:numCache>
                <c:formatCode>0.00%</c:formatCode>
                <c:ptCount val="5"/>
                <c:pt idx="0">
                  <c:v>4.066700166E-2</c:v>
                </c:pt>
                <c:pt idx="1">
                  <c:v>4.3496805940000001E-2</c:v>
                </c:pt>
                <c:pt idx="2">
                  <c:v>6.5449344300000004E-2</c:v>
                </c:pt>
                <c:pt idx="3">
                  <c:v>0.20511078529999999</c:v>
                </c:pt>
                <c:pt idx="4">
                  <c:v>-0.88956376920000002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7-4D20-A36F-05A90E07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449375"/>
        <c:axId val="1382957983"/>
      </c:lineChart>
      <c:catAx>
        <c:axId val="139144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57983"/>
        <c:crosses val="autoZero"/>
        <c:auto val="1"/>
        <c:lblAlgn val="ctr"/>
        <c:lblOffset val="100"/>
        <c:noMultiLvlLbl val="0"/>
      </c:catAx>
      <c:valAx>
        <c:axId val="13829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4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</a:t>
            </a:r>
            <a:r>
              <a:rPr lang="en-US" baseline="0"/>
              <a:t> On Invested Capital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graphs'!$A$122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graphs'!$B$121:$F$121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graphs'!$B$122:$F$122</c:f>
              <c:numCache>
                <c:formatCode>0%</c:formatCode>
                <c:ptCount val="5"/>
                <c:pt idx="0">
                  <c:v>8.0225000000000005E-2</c:v>
                </c:pt>
                <c:pt idx="1">
                  <c:v>7.9125000000000001E-2</c:v>
                </c:pt>
                <c:pt idx="2">
                  <c:v>8.9050000000000004E-2</c:v>
                </c:pt>
                <c:pt idx="3">
                  <c:v>0.17609999999999998</c:v>
                </c:pt>
                <c:pt idx="4">
                  <c:v>0.13114999999999999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A-4E6E-921C-0AE994E71F47}"/>
            </c:ext>
          </c:extLst>
        </c:ser>
        <c:ser>
          <c:idx val="1"/>
          <c:order val="1"/>
          <c:tx>
            <c:strRef>
              <c:f>'Industry Averages and graphs'!$A$123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graphs'!$B$121:$F$121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graphs'!$B$123:$F$123</c:f>
              <c:numCache>
                <c:formatCode>0.00%</c:formatCode>
                <c:ptCount val="5"/>
                <c:pt idx="0">
                  <c:v>2.2499999999999999E-2</c:v>
                </c:pt>
                <c:pt idx="1">
                  <c:v>3.6200000000000003E-2</c:v>
                </c:pt>
                <c:pt idx="2">
                  <c:v>3.2199999999999999E-2</c:v>
                </c:pt>
                <c:pt idx="3">
                  <c:v>0.15759999999999999</c:v>
                </c:pt>
                <c:pt idx="4">
                  <c:v>3.0599999999999999E-2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A-4E6E-921C-0AE994E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490239"/>
        <c:axId val="1215177551"/>
      </c:lineChart>
      <c:catAx>
        <c:axId val="139049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77551"/>
        <c:crosses val="autoZero"/>
        <c:auto val="1"/>
        <c:lblAlgn val="ctr"/>
        <c:lblOffset val="100"/>
        <c:noMultiLvlLbl val="0"/>
      </c:catAx>
      <c:valAx>
        <c:axId val="12151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</a:t>
            </a:r>
            <a:r>
              <a:rPr lang="en-US" baseline="0"/>
              <a:t> On Total Assets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graphs'!$A$140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graphs'!$B$139:$F$139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graphs'!$B$140:$F$140</c:f>
              <c:numCache>
                <c:formatCode>0.00</c:formatCode>
                <c:ptCount val="5"/>
                <c:pt idx="0">
                  <c:v>0.61282500000000006</c:v>
                </c:pt>
                <c:pt idx="1">
                  <c:v>0.60547499999999999</c:v>
                </c:pt>
                <c:pt idx="2">
                  <c:v>0.424925</c:v>
                </c:pt>
                <c:pt idx="3">
                  <c:v>0.51627499999999993</c:v>
                </c:pt>
                <c:pt idx="4">
                  <c:v>-4.3400000000000008E-2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C-49A5-9693-0DC052D0D6A1}"/>
            </c:ext>
          </c:extLst>
        </c:ser>
        <c:ser>
          <c:idx val="1"/>
          <c:order val="1"/>
          <c:tx>
            <c:strRef>
              <c:f>'Industry Averages and graphs'!$A$141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graphs'!$B$139:$F$139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graphs'!$B$141:$F$141</c:f>
              <c:numCache>
                <c:formatCode>0.00</c:formatCode>
                <c:ptCount val="5"/>
                <c:pt idx="0">
                  <c:v>3.6284589469999999</c:v>
                </c:pt>
                <c:pt idx="1">
                  <c:v>1.9871164560000001</c:v>
                </c:pt>
                <c:pt idx="2">
                  <c:v>2.2665415260000001</c:v>
                </c:pt>
                <c:pt idx="3">
                  <c:v>6.9802981040000001</c:v>
                </c:pt>
                <c:pt idx="4">
                  <c:v>16.093460310000001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C-49A5-9693-0DC052D0D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048143"/>
        <c:axId val="1305052943"/>
      </c:lineChart>
      <c:catAx>
        <c:axId val="130504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52943"/>
        <c:crosses val="autoZero"/>
        <c:auto val="1"/>
        <c:lblAlgn val="ctr"/>
        <c:lblOffset val="100"/>
        <c:noMultiLvlLbl val="0"/>
      </c:catAx>
      <c:valAx>
        <c:axId val="130505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4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To Earning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graphs'!$A$147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graphs'!$B$146:$F$146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graphs'!$B$147:$F$147</c:f>
              <c:numCache>
                <c:formatCode>General</c:formatCode>
                <c:ptCount val="5"/>
                <c:pt idx="0">
                  <c:v>22.2775</c:v>
                </c:pt>
                <c:pt idx="1">
                  <c:v>-18.414999999999999</c:v>
                </c:pt>
                <c:pt idx="2">
                  <c:v>18.585000000000001</c:v>
                </c:pt>
                <c:pt idx="3">
                  <c:v>2.9349999999999996</c:v>
                </c:pt>
                <c:pt idx="4">
                  <c:v>-9.0074999999999985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7-4713-8932-3120A3C7DB40}"/>
            </c:ext>
          </c:extLst>
        </c:ser>
        <c:ser>
          <c:idx val="1"/>
          <c:order val="1"/>
          <c:tx>
            <c:strRef>
              <c:f>'Industry Averages and graphs'!$A$148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graphs'!$B$146:$F$146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graphs'!$B$148:$F$148</c:f>
              <c:numCache>
                <c:formatCode>0.00</c:formatCode>
                <c:ptCount val="5"/>
                <c:pt idx="0">
                  <c:v>36.283185840000002</c:v>
                </c:pt>
                <c:pt idx="1">
                  <c:v>35.636363639999999</c:v>
                </c:pt>
                <c:pt idx="2">
                  <c:v>32.537688439999997</c:v>
                </c:pt>
                <c:pt idx="3">
                  <c:v>2.312842362</c:v>
                </c:pt>
                <c:pt idx="4">
                  <c:v>-0.715343375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7-4713-8932-3120A3C7D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180911"/>
        <c:axId val="1215182351"/>
      </c:lineChart>
      <c:catAx>
        <c:axId val="121518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82351"/>
        <c:crosses val="autoZero"/>
        <c:auto val="1"/>
        <c:lblAlgn val="ctr"/>
        <c:lblOffset val="100"/>
        <c:noMultiLvlLbl val="0"/>
      </c:catAx>
      <c:valAx>
        <c:axId val="12151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8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Book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graphs'!$A$153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graphs'!$B$152:$F$152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graphs'!$B$153:$F$153</c:f>
              <c:numCache>
                <c:formatCode>General</c:formatCode>
                <c:ptCount val="5"/>
                <c:pt idx="0">
                  <c:v>0.64250000000000007</c:v>
                </c:pt>
                <c:pt idx="1">
                  <c:v>0.53499999999999992</c:v>
                </c:pt>
                <c:pt idx="2">
                  <c:v>0.4975</c:v>
                </c:pt>
                <c:pt idx="3">
                  <c:v>0.59749999999999992</c:v>
                </c:pt>
                <c:pt idx="4">
                  <c:v>0.71500000000000008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5-4BA3-A940-4FC7C8A27DC1}"/>
            </c:ext>
          </c:extLst>
        </c:ser>
        <c:ser>
          <c:idx val="1"/>
          <c:order val="1"/>
          <c:tx>
            <c:strRef>
              <c:f>'Industry Averages and graphs'!$A$154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graphs'!$B$152:$F$152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graphs'!$B$154:$F$154</c:f>
              <c:numCache>
                <c:formatCode>0.00</c:formatCode>
                <c:ptCount val="5"/>
                <c:pt idx="0">
                  <c:v>1.917680075</c:v>
                </c:pt>
                <c:pt idx="1">
                  <c:v>2.021869197</c:v>
                </c:pt>
                <c:pt idx="2">
                  <c:v>2.7706461280000001</c:v>
                </c:pt>
                <c:pt idx="3">
                  <c:v>0.61808718279999997</c:v>
                </c:pt>
                <c:pt idx="4">
                  <c:v>0.74680170580000005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5-4BA3-A940-4FC7C8A2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033263"/>
        <c:axId val="1305061103"/>
      </c:lineChart>
      <c:catAx>
        <c:axId val="130503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61103"/>
        <c:crosses val="autoZero"/>
        <c:auto val="1"/>
        <c:lblAlgn val="ctr"/>
        <c:lblOffset val="100"/>
        <c:noMultiLvlLbl val="0"/>
      </c:catAx>
      <c:valAx>
        <c:axId val="130506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3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graphs'!$A$159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graphs'!$B$158:$F$158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graphs'!$B$159:$F$159</c:f>
              <c:numCache>
                <c:formatCode>0.00</c:formatCode>
                <c:ptCount val="5"/>
                <c:pt idx="0">
                  <c:v>4.8975</c:v>
                </c:pt>
                <c:pt idx="1">
                  <c:v>4.8949999999999996</c:v>
                </c:pt>
                <c:pt idx="2">
                  <c:v>5.5124999999999993</c:v>
                </c:pt>
                <c:pt idx="3">
                  <c:v>2.7475000000000001</c:v>
                </c:pt>
                <c:pt idx="4">
                  <c:v>5.8075000000000001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7-4FF6-828E-BCE570D4943B}"/>
            </c:ext>
          </c:extLst>
        </c:ser>
        <c:ser>
          <c:idx val="1"/>
          <c:order val="1"/>
          <c:tx>
            <c:strRef>
              <c:f>'Industry Averages and graphs'!$A$160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graphs'!$B$158:$F$158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graphs'!$B$160:$F$160</c:f>
              <c:numCache>
                <c:formatCode>0.00</c:formatCode>
                <c:ptCount val="5"/>
                <c:pt idx="0">
                  <c:v>31.75</c:v>
                </c:pt>
                <c:pt idx="1">
                  <c:v>32.450000000000003</c:v>
                </c:pt>
                <c:pt idx="2">
                  <c:v>28.61</c:v>
                </c:pt>
                <c:pt idx="3">
                  <c:v>5.65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7-4FF6-828E-BCE570D49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028031"/>
        <c:axId val="1208028511"/>
      </c:lineChart>
      <c:catAx>
        <c:axId val="120802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28511"/>
        <c:crosses val="autoZero"/>
        <c:auto val="1"/>
        <c:lblAlgn val="ctr"/>
        <c:lblOffset val="100"/>
        <c:noMultiLvlLbl val="0"/>
      </c:catAx>
      <c:valAx>
        <c:axId val="12080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Recievables</a:t>
            </a:r>
            <a:r>
              <a:rPr lang="en-US" baseline="0"/>
              <a:t> Turnover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graphs'!$A$45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graphs'!$B$44:$F$44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graphs'!$B$45:$F$45</c:f>
              <c:numCache>
                <c:formatCode>0.00</c:formatCode>
                <c:ptCount val="5"/>
                <c:pt idx="0">
                  <c:v>48.9</c:v>
                </c:pt>
                <c:pt idx="1">
                  <c:v>55.65</c:v>
                </c:pt>
                <c:pt idx="2">
                  <c:v>48.22</c:v>
                </c:pt>
                <c:pt idx="3">
                  <c:v>46.54</c:v>
                </c:pt>
                <c:pt idx="4">
                  <c:v>27.06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E-4DFF-815A-B64E3C87B1E2}"/>
            </c:ext>
          </c:extLst>
        </c:ser>
        <c:ser>
          <c:idx val="1"/>
          <c:order val="1"/>
          <c:tx>
            <c:strRef>
              <c:f>'Industry Averages and graphs'!$A$46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graphs'!$B$44:$F$44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graphs'!$B$46:$F$46</c:f>
              <c:numCache>
                <c:formatCode>0.00</c:formatCode>
                <c:ptCount val="5"/>
                <c:pt idx="0" formatCode="General">
                  <c:v>60</c:v>
                </c:pt>
                <c:pt idx="1">
                  <c:v>50.9</c:v>
                </c:pt>
                <c:pt idx="2">
                  <c:v>55.5</c:v>
                </c:pt>
                <c:pt idx="3">
                  <c:v>19.899999999999999</c:v>
                </c:pt>
                <c:pt idx="4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E-4DFF-815A-B64E3C87B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549696"/>
        <c:axId val="1122542976"/>
      </c:lineChart>
      <c:catAx>
        <c:axId val="11225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42976"/>
        <c:crosses val="autoZero"/>
        <c:auto val="1"/>
        <c:lblAlgn val="ctr"/>
        <c:lblOffset val="100"/>
        <c:noMultiLvlLbl val="0"/>
      </c:catAx>
      <c:valAx>
        <c:axId val="112254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Payable</a:t>
            </a:r>
            <a:r>
              <a:rPr lang="en-US" baseline="0"/>
              <a:t> Turnover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graphs'!$A$57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graphs'!$B$56:$F$56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graphs'!$B$57:$F$57</c:f>
              <c:numCache>
                <c:formatCode>0.00</c:formatCode>
                <c:ptCount val="5"/>
                <c:pt idx="0">
                  <c:v>5.7350000000000003</c:v>
                </c:pt>
                <c:pt idx="1">
                  <c:v>8.83</c:v>
                </c:pt>
                <c:pt idx="2">
                  <c:v>9.4600000000000009</c:v>
                </c:pt>
                <c:pt idx="3">
                  <c:v>9.75</c:v>
                </c:pt>
                <c:pt idx="4">
                  <c:v>10.82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C-46D4-A4A4-5C4058ADCC3E}"/>
            </c:ext>
          </c:extLst>
        </c:ser>
        <c:ser>
          <c:idx val="1"/>
          <c:order val="1"/>
          <c:tx>
            <c:strRef>
              <c:f>'Industry Averages and graphs'!$A$58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graphs'!$B$56:$F$56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graphs'!$B$58:$F$58</c:f>
              <c:numCache>
                <c:formatCode>0.00</c:formatCode>
                <c:ptCount val="5"/>
                <c:pt idx="0" formatCode="General">
                  <c:v>9.8000000000000007</c:v>
                </c:pt>
                <c:pt idx="1">
                  <c:v>7.2</c:v>
                </c:pt>
                <c:pt idx="2">
                  <c:v>8.9</c:v>
                </c:pt>
                <c:pt idx="3">
                  <c:v>8.4</c:v>
                </c:pt>
                <c:pt idx="4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C-46D4-A4A4-5C4058ADC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578496"/>
        <c:axId val="1122578976"/>
      </c:lineChart>
      <c:catAx>
        <c:axId val="112257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78976"/>
        <c:crosses val="autoZero"/>
        <c:auto val="1"/>
        <c:lblAlgn val="ctr"/>
        <c:lblOffset val="100"/>
        <c:noMultiLvlLbl val="0"/>
      </c:catAx>
      <c:valAx>
        <c:axId val="11225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7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Times</a:t>
            </a:r>
            <a:r>
              <a:rPr lang="en-US" baseline="0"/>
              <a:t> Interest Earned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graphs'!$A$82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graphs'!$B$81:$F$81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graphs'!$B$82:$F$82</c:f>
              <c:numCache>
                <c:formatCode>General</c:formatCode>
                <c:ptCount val="5"/>
                <c:pt idx="0">
                  <c:v>1.32</c:v>
                </c:pt>
                <c:pt idx="1">
                  <c:v>0.66</c:v>
                </c:pt>
                <c:pt idx="2">
                  <c:v>6.59</c:v>
                </c:pt>
                <c:pt idx="3">
                  <c:v>28.96</c:v>
                </c:pt>
                <c:pt idx="4">
                  <c:v>21.82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6-44F6-ABD5-12BA1E6524AC}"/>
            </c:ext>
          </c:extLst>
        </c:ser>
        <c:ser>
          <c:idx val="1"/>
          <c:order val="1"/>
          <c:tx>
            <c:strRef>
              <c:f>'Industry Averages and graphs'!$A$83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graphs'!$B$81:$F$81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graphs'!$B$83:$F$83</c:f>
              <c:numCache>
                <c:formatCode>0.00</c:formatCode>
                <c:ptCount val="5"/>
                <c:pt idx="0">
                  <c:v>1.3436861600000001</c:v>
                </c:pt>
                <c:pt idx="1">
                  <c:v>2.1273934219999999</c:v>
                </c:pt>
                <c:pt idx="2">
                  <c:v>1.7110052330000001</c:v>
                </c:pt>
                <c:pt idx="3">
                  <c:v>1.757581635</c:v>
                </c:pt>
                <c:pt idx="4">
                  <c:v>0.7734270701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6-44F6-ABD5-12BA1E65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579936"/>
        <c:axId val="1122564576"/>
      </c:lineChart>
      <c:catAx>
        <c:axId val="112257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64576"/>
        <c:crosses val="autoZero"/>
        <c:auto val="1"/>
        <c:lblAlgn val="ctr"/>
        <c:lblOffset val="100"/>
        <c:noMultiLvlLbl val="0"/>
      </c:catAx>
      <c:valAx>
        <c:axId val="112256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</a:t>
            </a:r>
            <a:r>
              <a:rPr lang="en-US" baseline="0"/>
              <a:t> To Equity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graphs'!$A$88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graphs'!$B$87:$F$87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graphs'!$B$88:$F$88</c:f>
              <c:numCache>
                <c:formatCode>General</c:formatCode>
                <c:ptCount val="5"/>
                <c:pt idx="0">
                  <c:v>0.6</c:v>
                </c:pt>
                <c:pt idx="1">
                  <c:v>0.69499999999999995</c:v>
                </c:pt>
                <c:pt idx="2">
                  <c:v>0.83499999999999996</c:v>
                </c:pt>
                <c:pt idx="3">
                  <c:v>0.79</c:v>
                </c:pt>
                <c:pt idx="4">
                  <c:v>1.075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A-49DE-B427-55D2A7869309}"/>
            </c:ext>
          </c:extLst>
        </c:ser>
        <c:ser>
          <c:idx val="1"/>
          <c:order val="1"/>
          <c:tx>
            <c:strRef>
              <c:f>'Industry Averages and graphs'!$A$89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graphs'!$B$87:$F$87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graphs'!$B$89:$F$89</c:f>
              <c:numCache>
                <c:formatCode>0.00</c:formatCode>
                <c:ptCount val="5"/>
                <c:pt idx="0" formatCode="General">
                  <c:v>0.83</c:v>
                </c:pt>
                <c:pt idx="1">
                  <c:v>1.02</c:v>
                </c:pt>
                <c:pt idx="2">
                  <c:v>1.55</c:v>
                </c:pt>
                <c:pt idx="3">
                  <c:v>1.86</c:v>
                </c:pt>
                <c:pt idx="4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A-49DE-B427-55D2A7869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561696"/>
        <c:axId val="1122552576"/>
      </c:lineChart>
      <c:catAx>
        <c:axId val="112256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52576"/>
        <c:crosses val="autoZero"/>
        <c:auto val="1"/>
        <c:lblAlgn val="ctr"/>
        <c:lblOffset val="100"/>
        <c:noMultiLvlLbl val="0"/>
      </c:catAx>
      <c:valAx>
        <c:axId val="112255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6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</a:t>
            </a:r>
            <a:r>
              <a:rPr lang="en-US" baseline="0"/>
              <a:t> Term Debt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graphs'!$A$94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graphs'!$B$93:$F$93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graphs'!$B$94:$F$94</c:f>
              <c:numCache>
                <c:formatCode>0.00%</c:formatCode>
                <c:ptCount val="5"/>
                <c:pt idx="0">
                  <c:v>8.1799999999999998E-2</c:v>
                </c:pt>
                <c:pt idx="1">
                  <c:v>7.6499999999999999E-2</c:v>
                </c:pt>
                <c:pt idx="2">
                  <c:v>5.28E-2</c:v>
                </c:pt>
                <c:pt idx="3">
                  <c:v>3.2300000000000002E-2</c:v>
                </c:pt>
                <c:pt idx="4">
                  <c:v>2.93E-2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2-478F-90BE-081E20EE49A6}"/>
            </c:ext>
          </c:extLst>
        </c:ser>
        <c:ser>
          <c:idx val="1"/>
          <c:order val="1"/>
          <c:tx>
            <c:strRef>
              <c:f>'Industry Averages and graphs'!$A$95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graphs'!$B$93:$F$93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graphs'!$B$95:$F$95</c:f>
              <c:numCache>
                <c:formatCode>0%</c:formatCode>
                <c:ptCount val="5"/>
                <c:pt idx="0">
                  <c:v>0.26800000000000002</c:v>
                </c:pt>
                <c:pt idx="1">
                  <c:v>0.25900000000000001</c:v>
                </c:pt>
                <c:pt idx="2">
                  <c:v>0.41399999999999998</c:v>
                </c:pt>
                <c:pt idx="3">
                  <c:v>0.28699999999999998</c:v>
                </c:pt>
                <c:pt idx="4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2-478F-90BE-081E20EE4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25600"/>
        <c:axId val="1221143840"/>
      </c:lineChart>
      <c:catAx>
        <c:axId val="12211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43840"/>
        <c:crosses val="autoZero"/>
        <c:auto val="1"/>
        <c:lblAlgn val="ctr"/>
        <c:lblOffset val="100"/>
        <c:noMultiLvlLbl val="0"/>
      </c:catAx>
      <c:valAx>
        <c:axId val="122114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2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</a:t>
            </a:r>
            <a:r>
              <a:rPr lang="en-US" baseline="0"/>
              <a:t> To Asset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graphs'!$A$100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graphs'!$B$99:$F$99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graphs'!$B$100:$F$100</c:f>
              <c:numCache>
                <c:formatCode>0.00%</c:formatCode>
                <c:ptCount val="5"/>
                <c:pt idx="0">
                  <c:v>0.21149999999999999</c:v>
                </c:pt>
                <c:pt idx="1">
                  <c:v>0.24</c:v>
                </c:pt>
                <c:pt idx="2">
                  <c:v>0.26105</c:v>
                </c:pt>
                <c:pt idx="3">
                  <c:v>0.2223</c:v>
                </c:pt>
                <c:pt idx="4">
                  <c:v>0.31705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8-41AC-8861-4C8CDAEB267D}"/>
            </c:ext>
          </c:extLst>
        </c:ser>
        <c:ser>
          <c:idx val="1"/>
          <c:order val="1"/>
          <c:tx>
            <c:strRef>
              <c:f>'Industry Averages and graphs'!$A$101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graphs'!$B$99:$F$99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graphs'!$B$101:$F$101</c:f>
              <c:numCache>
                <c:formatCode>0%</c:formatCode>
                <c:ptCount val="5"/>
                <c:pt idx="0">
                  <c:v>0.37</c:v>
                </c:pt>
                <c:pt idx="1">
                  <c:v>0.42299999999999999</c:v>
                </c:pt>
                <c:pt idx="2">
                  <c:v>0.47099999999999997</c:v>
                </c:pt>
                <c:pt idx="3">
                  <c:v>0.55200000000000005</c:v>
                </c:pt>
                <c:pt idx="4">
                  <c:v>0.63800000000000001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8-41AC-8861-4C8CDAEB2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46720"/>
        <c:axId val="1221141920"/>
      </c:lineChart>
      <c:catAx>
        <c:axId val="12211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41920"/>
        <c:crosses val="autoZero"/>
        <c:auto val="1"/>
        <c:lblAlgn val="ctr"/>
        <c:lblOffset val="100"/>
        <c:noMultiLvlLbl val="0"/>
      </c:catAx>
      <c:valAx>
        <c:axId val="12211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graphs'!$A$110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graphs'!$B$109:$F$109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graphs'!$B$110:$F$110</c:f>
              <c:numCache>
                <c:formatCode>0.00</c:formatCode>
                <c:ptCount val="5"/>
                <c:pt idx="0">
                  <c:v>9.49</c:v>
                </c:pt>
                <c:pt idx="1">
                  <c:v>10.49</c:v>
                </c:pt>
                <c:pt idx="2">
                  <c:v>10.82</c:v>
                </c:pt>
                <c:pt idx="3">
                  <c:v>15.92</c:v>
                </c:pt>
                <c:pt idx="4">
                  <c:v>11.26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E-4EA8-84C4-607E31D193A4}"/>
            </c:ext>
          </c:extLst>
        </c:ser>
        <c:ser>
          <c:idx val="1"/>
          <c:order val="1"/>
          <c:tx>
            <c:strRef>
              <c:f>'Industry Averages and graphs'!$A$111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graphs'!$B$109:$F$109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graphs'!$B$111:$F$111</c:f>
              <c:numCache>
                <c:formatCode>0.00</c:formatCode>
                <c:ptCount val="5"/>
                <c:pt idx="0">
                  <c:v>2.495783501</c:v>
                </c:pt>
                <c:pt idx="1">
                  <c:v>3.6338756349999999</c:v>
                </c:pt>
                <c:pt idx="2">
                  <c:v>4.2135509200000003</c:v>
                </c:pt>
                <c:pt idx="3">
                  <c:v>10.78885975</c:v>
                </c:pt>
                <c:pt idx="4">
                  <c:v>18.558889199999999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E-4EA8-84C4-607E31D19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060320"/>
        <c:axId val="1221053120"/>
      </c:lineChart>
      <c:catAx>
        <c:axId val="122106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53120"/>
        <c:crosses val="autoZero"/>
        <c:auto val="1"/>
        <c:lblAlgn val="ctr"/>
        <c:lblOffset val="100"/>
        <c:noMultiLvlLbl val="0"/>
      </c:catAx>
      <c:valAx>
        <c:axId val="12210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6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</a:t>
            </a:r>
            <a:r>
              <a:rPr lang="en-US" baseline="0"/>
              <a:t> Sales Of Inventory (DSI)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graphs'!$A$51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graphs'!$B$50:$F$50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graphs'!$B$51:$F$51</c:f>
              <c:numCache>
                <c:formatCode>0.000</c:formatCode>
                <c:ptCount val="5"/>
                <c:pt idx="0">
                  <c:v>18.477507321792341</c:v>
                </c:pt>
                <c:pt idx="1">
                  <c:v>15.713968993697019</c:v>
                </c:pt>
                <c:pt idx="2">
                  <c:v>59.206540792727893</c:v>
                </c:pt>
                <c:pt idx="3">
                  <c:v>49.682386510257189</c:v>
                </c:pt>
                <c:pt idx="4">
                  <c:v>45.973806741296158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B-491B-B430-57C9D76B9787}"/>
            </c:ext>
          </c:extLst>
        </c:ser>
        <c:ser>
          <c:idx val="1"/>
          <c:order val="1"/>
          <c:tx>
            <c:strRef>
              <c:f>'Industry Averages and graphs'!$A$52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graphs'!$B$50:$F$50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graphs'!$B$52:$F$52</c:f>
              <c:numCache>
                <c:formatCode>0.00</c:formatCode>
                <c:ptCount val="5"/>
                <c:pt idx="0" formatCode="General">
                  <c:v>79.3</c:v>
                </c:pt>
                <c:pt idx="1">
                  <c:v>83.5</c:v>
                </c:pt>
                <c:pt idx="2">
                  <c:v>100</c:v>
                </c:pt>
                <c:pt idx="3">
                  <c:v>108.3</c:v>
                </c:pt>
                <c:pt idx="4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B-491B-B430-57C9D76B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37120"/>
        <c:axId val="1221157760"/>
      </c:lineChart>
      <c:catAx>
        <c:axId val="12211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57760"/>
        <c:crosses val="autoZero"/>
        <c:auto val="1"/>
        <c:lblAlgn val="ctr"/>
        <c:lblOffset val="100"/>
        <c:noMultiLvlLbl val="0"/>
      </c:catAx>
      <c:valAx>
        <c:axId val="12211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Days</a:t>
            </a:r>
            <a:r>
              <a:rPr lang="en-US" baseline="0"/>
              <a:t> Payable Outstanding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graphs'!$A$63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graphs'!$B$62:$F$62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graphs'!$B$63:$F$63</c:f>
              <c:numCache>
                <c:formatCode>0.000</c:formatCode>
                <c:ptCount val="5"/>
                <c:pt idx="0">
                  <c:v>15.434211549716929</c:v>
                </c:pt>
                <c:pt idx="1">
                  <c:v>5.2062545688539084</c:v>
                </c:pt>
                <c:pt idx="2">
                  <c:v>10.513504399831012</c:v>
                </c:pt>
                <c:pt idx="3">
                  <c:v>18.154969739388267</c:v>
                </c:pt>
                <c:pt idx="4">
                  <c:v>-10.545194846498841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F-4F1A-8EBB-C07F8B33901C}"/>
            </c:ext>
          </c:extLst>
        </c:ser>
        <c:ser>
          <c:idx val="1"/>
          <c:order val="1"/>
          <c:tx>
            <c:strRef>
              <c:f>'Industry Averages and graphs'!$A$64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graphs'!$B$62:$F$62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graphs'!$B$64:$F$64</c:f>
              <c:numCache>
                <c:formatCode>0.00</c:formatCode>
                <c:ptCount val="5"/>
                <c:pt idx="0" formatCode="General">
                  <c:v>37.299999999999997</c:v>
                </c:pt>
                <c:pt idx="1">
                  <c:v>50.4</c:v>
                </c:pt>
                <c:pt idx="2">
                  <c:v>34.200000000000003</c:v>
                </c:pt>
                <c:pt idx="3">
                  <c:v>34.299999999999997</c:v>
                </c:pt>
                <c:pt idx="4">
                  <c:v>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F-4F1A-8EBB-C07F8B339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40000"/>
        <c:axId val="1221160160"/>
      </c:lineChart>
      <c:catAx>
        <c:axId val="12211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60160"/>
        <c:crosses val="autoZero"/>
        <c:auto val="1"/>
        <c:lblAlgn val="ctr"/>
        <c:lblOffset val="100"/>
        <c:noMultiLvlLbl val="0"/>
      </c:catAx>
      <c:valAx>
        <c:axId val="12211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Cash</a:t>
            </a:r>
            <a:r>
              <a:rPr lang="en-US" baseline="0"/>
              <a:t> Conversion Cycle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graphs'!$A$69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graphs'!$B$68:$F$68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graphs'!$B$69:$F$69</c:f>
              <c:numCache>
                <c:formatCode>0.000</c:formatCode>
                <c:ptCount val="5"/>
                <c:pt idx="0">
                  <c:v>-2.8504200845338379</c:v>
                </c:pt>
                <c:pt idx="1">
                  <c:v>2.1355787259955825</c:v>
                </c:pt>
                <c:pt idx="2">
                  <c:v>46.800922658674303</c:v>
                </c:pt>
                <c:pt idx="3">
                  <c:v>40.112983840759981</c:v>
                </c:pt>
                <c:pt idx="4">
                  <c:v>61.848322057040221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D-460E-8661-0BEEBD5273E4}"/>
            </c:ext>
          </c:extLst>
        </c:ser>
        <c:ser>
          <c:idx val="1"/>
          <c:order val="1"/>
          <c:tx>
            <c:strRef>
              <c:f>'Industry Averages and graphs'!$A$70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graphs'!$B$68:$F$68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graphs'!$B$70:$F$70</c:f>
              <c:numCache>
                <c:formatCode>0.00</c:formatCode>
                <c:ptCount val="5"/>
                <c:pt idx="0" formatCode="General">
                  <c:v>10.4</c:v>
                </c:pt>
                <c:pt idx="1">
                  <c:v>69.8</c:v>
                </c:pt>
                <c:pt idx="2">
                  <c:v>59</c:v>
                </c:pt>
                <c:pt idx="3">
                  <c:v>94.6</c:v>
                </c:pt>
                <c:pt idx="4">
                  <c:v>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60E-8661-0BEEBD527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073760"/>
        <c:axId val="1221087680"/>
      </c:lineChart>
      <c:catAx>
        <c:axId val="122107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87680"/>
        <c:crosses val="autoZero"/>
        <c:auto val="1"/>
        <c:lblAlgn val="ctr"/>
        <c:lblOffset val="100"/>
        <c:noMultiLvlLbl val="0"/>
      </c:catAx>
      <c:valAx>
        <c:axId val="12210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7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</a:t>
            </a:r>
            <a:r>
              <a:rPr lang="en-US" baseline="0"/>
              <a:t> Yield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graphs'!$A$165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graphs'!$B$164:$F$164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graphs'!$B$165:$F$165</c:f>
              <c:numCache>
                <c:formatCode>General</c:formatCode>
                <c:ptCount val="5"/>
                <c:pt idx="0">
                  <c:v>1.75</c:v>
                </c:pt>
                <c:pt idx="1">
                  <c:v>3.625</c:v>
                </c:pt>
                <c:pt idx="2">
                  <c:v>2.2925</c:v>
                </c:pt>
                <c:pt idx="3">
                  <c:v>6.84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D-4B07-811B-3228C250EDFF}"/>
            </c:ext>
          </c:extLst>
        </c:ser>
        <c:ser>
          <c:idx val="1"/>
          <c:order val="1"/>
          <c:tx>
            <c:strRef>
              <c:f>'Industry Averages and graphs'!$A$166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graphs'!$B$164:$F$164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graphs'!$B$166:$F$166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0D-4B07-811B-3228C250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797680"/>
        <c:axId val="1166800080"/>
      </c:lineChart>
      <c:catAx>
        <c:axId val="11667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00080"/>
        <c:crosses val="autoZero"/>
        <c:auto val="1"/>
        <c:lblAlgn val="ctr"/>
        <c:lblOffset val="100"/>
        <c:noMultiLvlLbl val="0"/>
      </c:catAx>
      <c:valAx>
        <c:axId val="11668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7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</a:t>
            </a:r>
            <a:r>
              <a:rPr lang="en-US" baseline="0"/>
              <a:t> Payout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graphs'!$A$171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graphs'!$B$170:$F$170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graphs'!$B$171:$F$171</c:f>
              <c:numCache>
                <c:formatCode>General</c:formatCode>
                <c:ptCount val="5"/>
                <c:pt idx="0">
                  <c:v>50.9</c:v>
                </c:pt>
                <c:pt idx="1">
                  <c:v>-52.81</c:v>
                </c:pt>
                <c:pt idx="2">
                  <c:v>15.71</c:v>
                </c:pt>
                <c:pt idx="3">
                  <c:v>22.74</c:v>
                </c:pt>
                <c:pt idx="4">
                  <c:v>18.45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D-4698-9F53-8983A41337DF}"/>
            </c:ext>
          </c:extLst>
        </c:ser>
        <c:ser>
          <c:idx val="1"/>
          <c:order val="1"/>
          <c:tx>
            <c:strRef>
              <c:f>'Industry Averages and graphs'!$A$172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graphs'!$B$170:$F$170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graphs'!$B$172:$F$172</c:f>
              <c:numCache>
                <c:formatCode>General</c:formatCode>
                <c:ptCount val="5"/>
                <c:pt idx="0" formatCode="0.00">
                  <c:v>0</c:v>
                </c:pt>
                <c:pt idx="1">
                  <c:v>36.979999999999997</c:v>
                </c:pt>
                <c:pt idx="2">
                  <c:v>9.94</c:v>
                </c:pt>
                <c:pt idx="3" formatCode="0.00">
                  <c:v>0</c:v>
                </c:pt>
                <c:pt idx="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D-4698-9F53-8983A4133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300464"/>
        <c:axId val="1107300944"/>
      </c:lineChart>
      <c:catAx>
        <c:axId val="110730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00944"/>
        <c:crosses val="autoZero"/>
        <c:auto val="1"/>
        <c:lblAlgn val="ctr"/>
        <c:lblOffset val="100"/>
        <c:noMultiLvlLbl val="0"/>
      </c:catAx>
      <c:valAx>
        <c:axId val="110730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0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</a:t>
            </a:r>
            <a:r>
              <a:rPr lang="en-US" baseline="0"/>
              <a:t> Cover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graphs'!$A$177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graphs'!$B$176:$F$176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graphs'!$B$177:$F$177</c:f>
              <c:numCache>
                <c:formatCode>General</c:formatCode>
                <c:ptCount val="5"/>
                <c:pt idx="0">
                  <c:v>18.39</c:v>
                </c:pt>
                <c:pt idx="1">
                  <c:v>28.33</c:v>
                </c:pt>
                <c:pt idx="2">
                  <c:v>35.119999999999997</c:v>
                </c:pt>
                <c:pt idx="3">
                  <c:v>45.055</c:v>
                </c:pt>
                <c:pt idx="4">
                  <c:v>96.39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9-49DA-9B69-66D97A3EC26A}"/>
            </c:ext>
          </c:extLst>
        </c:ser>
        <c:ser>
          <c:idx val="1"/>
          <c:order val="1"/>
          <c:tx>
            <c:strRef>
              <c:f>'Industry Averages and graphs'!$A$178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graphs'!$B$176:$F$176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graphs'!$B$178:$F$178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9-49DA-9B69-66D97A3EC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840816"/>
        <c:axId val="1925841296"/>
      </c:lineChart>
      <c:catAx>
        <c:axId val="19258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41296"/>
        <c:crosses val="autoZero"/>
        <c:auto val="1"/>
        <c:lblAlgn val="ctr"/>
        <c:lblOffset val="100"/>
        <c:noMultiLvlLbl val="0"/>
      </c:catAx>
      <c:valAx>
        <c:axId val="19258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</a:t>
            </a:r>
            <a:r>
              <a:rPr lang="en-US" baseline="0"/>
              <a:t>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graphs'!$A$134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graphs'!$B$133:$F$133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graphs'!$B$134:$F$134</c:f>
              <c:numCache>
                <c:formatCode>0.00%</c:formatCode>
                <c:ptCount val="5"/>
                <c:pt idx="0">
                  <c:v>7.5399999999999995E-2</c:v>
                </c:pt>
                <c:pt idx="1">
                  <c:v>7.8E-2</c:v>
                </c:pt>
                <c:pt idx="2">
                  <c:v>9.0200000000000002E-2</c:v>
                </c:pt>
                <c:pt idx="3">
                  <c:v>0.1525</c:v>
                </c:pt>
                <c:pt idx="4">
                  <c:v>8.9800000000000005E-2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2-4A51-895F-8DDB03B6F293}"/>
            </c:ext>
          </c:extLst>
        </c:ser>
        <c:ser>
          <c:idx val="1"/>
          <c:order val="1"/>
          <c:tx>
            <c:strRef>
              <c:f>'Industry Averages and graphs'!$A$135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graphs'!$B$133:$F$133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graphs'!$B$135:$F$135</c:f>
              <c:numCache>
                <c:formatCode>0.00%</c:formatCode>
                <c:ptCount val="5"/>
                <c:pt idx="0">
                  <c:v>3.09E-2</c:v>
                </c:pt>
                <c:pt idx="1">
                  <c:v>7.1599999999999997E-2</c:v>
                </c:pt>
                <c:pt idx="2">
                  <c:v>5.9900000000000002E-2</c:v>
                </c:pt>
                <c:pt idx="3">
                  <c:v>0.1628</c:v>
                </c:pt>
                <c:pt idx="4">
                  <c:v>2.0799999999999999E-2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2-4A51-895F-8DDB03B6F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150048"/>
        <c:axId val="1225157248"/>
      </c:lineChart>
      <c:catAx>
        <c:axId val="122515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57248"/>
        <c:crosses val="autoZero"/>
        <c:auto val="1"/>
        <c:lblAlgn val="ctr"/>
        <c:lblOffset val="100"/>
        <c:noMultiLvlLbl val="0"/>
      </c:catAx>
      <c:valAx>
        <c:axId val="12251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r>
              <a:rPr lang="en-US" baseline="0"/>
              <a:t> Earning Power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Averages and graphs'!$A$128</c:f>
              <c:strCache>
                <c:ptCount val="1"/>
                <c:pt idx="0">
                  <c:v>Industry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graphs'!$B$127:$F$127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graphs'!$B$128:$F$128</c:f>
              <c:numCache>
                <c:formatCode>0.00%</c:formatCode>
                <c:ptCount val="5"/>
                <c:pt idx="0">
                  <c:v>8.5000000000000006E-2</c:v>
                </c:pt>
                <c:pt idx="1">
                  <c:v>7.6600000000000001E-2</c:v>
                </c:pt>
                <c:pt idx="2">
                  <c:v>8.1500000000000003E-2</c:v>
                </c:pt>
                <c:pt idx="3">
                  <c:v>0.17799999999999999</c:v>
                </c:pt>
                <c:pt idx="4">
                  <c:v>0.1061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0-48C4-AEC8-CB9F83FF9387}"/>
            </c:ext>
          </c:extLst>
        </c:ser>
        <c:ser>
          <c:idx val="1"/>
          <c:order val="1"/>
          <c:tx>
            <c:strRef>
              <c:f>'Industry Averages and graphs'!$A$129</c:f>
              <c:strCache>
                <c:ptCount val="1"/>
                <c:pt idx="0">
                  <c:v>Mirpurkhas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'Industry Averages and graphs'!$B$127:$F$127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'Industry Averages and graphs'!$B$129:$F$129</c:f>
              <c:numCache>
                <c:formatCode>0.00%</c:formatCode>
                <c:ptCount val="5"/>
                <c:pt idx="0">
                  <c:v>2.2491128169999999E-2</c:v>
                </c:pt>
                <c:pt idx="1">
                  <c:v>3.5680309200000003E-2</c:v>
                </c:pt>
                <c:pt idx="2">
                  <c:v>2.830403209E-2</c:v>
                </c:pt>
                <c:pt idx="3">
                  <c:v>9.1635998260000004E-2</c:v>
                </c:pt>
                <c:pt idx="4">
                  <c:v>1.8106862299999998E-2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50-48C4-AEC8-CB9F83FF9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134208"/>
        <c:axId val="1225133728"/>
      </c:lineChart>
      <c:catAx>
        <c:axId val="12251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33728"/>
        <c:crosses val="autoZero"/>
        <c:auto val="1"/>
        <c:lblAlgn val="ctr"/>
        <c:lblOffset val="100"/>
        <c:noMultiLvlLbl val="0"/>
      </c:catAx>
      <c:valAx>
        <c:axId val="12251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24167</xdr:colOff>
      <xdr:row>0</xdr:row>
      <xdr:rowOff>177989</xdr:rowOff>
    </xdr:from>
    <xdr:to>
      <xdr:col>14</xdr:col>
      <xdr:colOff>317025</xdr:colOff>
      <xdr:row>15</xdr:row>
      <xdr:rowOff>148988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5E31EA-5AF3-9353-FD95-7480E1B3E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38383</xdr:colOff>
      <xdr:row>0</xdr:row>
      <xdr:rowOff>177988</xdr:rowOff>
    </xdr:from>
    <xdr:to>
      <xdr:col>22</xdr:col>
      <xdr:colOff>331241</xdr:colOff>
      <xdr:row>15</xdr:row>
      <xdr:rowOff>148987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9511702-081C-E46B-D364-2F3AE836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17061</xdr:colOff>
      <xdr:row>19</xdr:row>
      <xdr:rowOff>7393</xdr:rowOff>
    </xdr:from>
    <xdr:to>
      <xdr:col>14</xdr:col>
      <xdr:colOff>309919</xdr:colOff>
      <xdr:row>33</xdr:row>
      <xdr:rowOff>163205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6545B3D-E233-AA06-E22A-F12AA4C6C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31276</xdr:colOff>
      <xdr:row>18</xdr:row>
      <xdr:rowOff>177989</xdr:rowOff>
    </xdr:from>
    <xdr:to>
      <xdr:col>22</xdr:col>
      <xdr:colOff>324134</xdr:colOff>
      <xdr:row>33</xdr:row>
      <xdr:rowOff>148988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D9FB54-C679-8518-34C5-CD653C34E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45492</xdr:colOff>
      <xdr:row>18</xdr:row>
      <xdr:rowOff>177990</xdr:rowOff>
    </xdr:from>
    <xdr:to>
      <xdr:col>30</xdr:col>
      <xdr:colOff>338350</xdr:colOff>
      <xdr:row>33</xdr:row>
      <xdr:rowOff>148989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5653B1-5F13-924E-5C3F-DAB829ACC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17061</xdr:colOff>
      <xdr:row>37</xdr:row>
      <xdr:rowOff>21608</xdr:rowOff>
    </xdr:from>
    <xdr:to>
      <xdr:col>14</xdr:col>
      <xdr:colOff>309919</xdr:colOff>
      <xdr:row>51</xdr:row>
      <xdr:rowOff>177420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6ABD9F5-169C-9613-016B-25FBB7436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31278</xdr:colOff>
      <xdr:row>72</xdr:row>
      <xdr:rowOff>21608</xdr:rowOff>
    </xdr:from>
    <xdr:to>
      <xdr:col>14</xdr:col>
      <xdr:colOff>324136</xdr:colOff>
      <xdr:row>86</xdr:row>
      <xdr:rowOff>177420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BD8CE1-3B3F-D366-0DD9-1D44630CF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585717</xdr:colOff>
      <xdr:row>105</xdr:row>
      <xdr:rowOff>177989</xdr:rowOff>
    </xdr:from>
    <xdr:to>
      <xdr:col>14</xdr:col>
      <xdr:colOff>267269</xdr:colOff>
      <xdr:row>120</xdr:row>
      <xdr:rowOff>148987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2097D0-B65C-64C3-98EA-AD15F9D6E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599933</xdr:colOff>
      <xdr:row>105</xdr:row>
      <xdr:rowOff>163774</xdr:rowOff>
    </xdr:from>
    <xdr:to>
      <xdr:col>22</xdr:col>
      <xdr:colOff>281485</xdr:colOff>
      <xdr:row>120</xdr:row>
      <xdr:rowOff>134772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B37CEFB-7469-7A90-8787-5148A685F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31276</xdr:colOff>
      <xdr:row>106</xdr:row>
      <xdr:rowOff>21610</xdr:rowOff>
    </xdr:from>
    <xdr:to>
      <xdr:col>30</xdr:col>
      <xdr:colOff>324134</xdr:colOff>
      <xdr:row>120</xdr:row>
      <xdr:rowOff>177422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F3C72B3-9C07-8629-C89B-70A761626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17060</xdr:colOff>
      <xdr:row>143</xdr:row>
      <xdr:rowOff>21608</xdr:rowOff>
    </xdr:from>
    <xdr:to>
      <xdr:col>14</xdr:col>
      <xdr:colOff>309918</xdr:colOff>
      <xdr:row>157</xdr:row>
      <xdr:rowOff>177420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D597637-1D2B-374C-4157-1D5543A6C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31277</xdr:colOff>
      <xdr:row>143</xdr:row>
      <xdr:rowOff>21608</xdr:rowOff>
    </xdr:from>
    <xdr:to>
      <xdr:col>22</xdr:col>
      <xdr:colOff>324135</xdr:colOff>
      <xdr:row>157</xdr:row>
      <xdr:rowOff>177420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A5452BB-B910-3836-5680-DF983577F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31277</xdr:colOff>
      <xdr:row>143</xdr:row>
      <xdr:rowOff>21609</xdr:rowOff>
    </xdr:from>
    <xdr:to>
      <xdr:col>30</xdr:col>
      <xdr:colOff>324136</xdr:colOff>
      <xdr:row>157</xdr:row>
      <xdr:rowOff>177421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E7A63CC-6A77-0D97-E7C3-D319E0D8D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9951</xdr:colOff>
      <xdr:row>37</xdr:row>
      <xdr:rowOff>7392</xdr:rowOff>
    </xdr:from>
    <xdr:to>
      <xdr:col>22</xdr:col>
      <xdr:colOff>302809</xdr:colOff>
      <xdr:row>51</xdr:row>
      <xdr:rowOff>163204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AB2A8-B9A0-2D19-77A3-758B179BE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45493</xdr:colOff>
      <xdr:row>37</xdr:row>
      <xdr:rowOff>7393</xdr:rowOff>
    </xdr:from>
    <xdr:to>
      <xdr:col>30</xdr:col>
      <xdr:colOff>338352</xdr:colOff>
      <xdr:row>51</xdr:row>
      <xdr:rowOff>163205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03730-C513-910E-2873-67030C354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31277</xdr:colOff>
      <xdr:row>72</xdr:row>
      <xdr:rowOff>35826</xdr:rowOff>
    </xdr:from>
    <xdr:to>
      <xdr:col>22</xdr:col>
      <xdr:colOff>324135</xdr:colOff>
      <xdr:row>87</xdr:row>
      <xdr:rowOff>6824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D3A84E-0389-D37E-E719-A0ED691CA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31277</xdr:colOff>
      <xdr:row>88</xdr:row>
      <xdr:rowOff>21608</xdr:rowOff>
    </xdr:from>
    <xdr:to>
      <xdr:col>14</xdr:col>
      <xdr:colOff>324135</xdr:colOff>
      <xdr:row>102</xdr:row>
      <xdr:rowOff>177420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7232D1-7D86-AFEF-F501-989E52402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17059</xdr:colOff>
      <xdr:row>88</xdr:row>
      <xdr:rowOff>7393</xdr:rowOff>
    </xdr:from>
    <xdr:to>
      <xdr:col>22</xdr:col>
      <xdr:colOff>309917</xdr:colOff>
      <xdr:row>102</xdr:row>
      <xdr:rowOff>163205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C7C5B6-EFFE-C315-3666-1B7EABEEF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45492</xdr:colOff>
      <xdr:row>72</xdr:row>
      <xdr:rowOff>21608</xdr:rowOff>
    </xdr:from>
    <xdr:to>
      <xdr:col>30</xdr:col>
      <xdr:colOff>338351</xdr:colOff>
      <xdr:row>86</xdr:row>
      <xdr:rowOff>177420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06ED5C-8B95-7D3A-3D01-3B71D6DED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607040</xdr:colOff>
      <xdr:row>122</xdr:row>
      <xdr:rowOff>21607</xdr:rowOff>
    </xdr:from>
    <xdr:to>
      <xdr:col>14</xdr:col>
      <xdr:colOff>288592</xdr:colOff>
      <xdr:row>136</xdr:row>
      <xdr:rowOff>177419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D5F712-3C41-3937-F804-45DC6D4C1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607040</xdr:colOff>
      <xdr:row>53</xdr:row>
      <xdr:rowOff>135341</xdr:rowOff>
    </xdr:from>
    <xdr:to>
      <xdr:col>14</xdr:col>
      <xdr:colOff>288592</xdr:colOff>
      <xdr:row>68</xdr:row>
      <xdr:rowOff>106340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1BAB878-6CE5-D1CD-190D-CB7F18590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15</xdr:col>
      <xdr:colOff>17060</xdr:colOff>
      <xdr:row>53</xdr:row>
      <xdr:rowOff>177989</xdr:rowOff>
    </xdr:from>
    <xdr:to>
      <xdr:col>22</xdr:col>
      <xdr:colOff>309919</xdr:colOff>
      <xdr:row>68</xdr:row>
      <xdr:rowOff>148988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9036256-28B6-58A7-B9E5-0171DFF25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31277</xdr:colOff>
      <xdr:row>53</xdr:row>
      <xdr:rowOff>177989</xdr:rowOff>
    </xdr:from>
    <xdr:to>
      <xdr:col>30</xdr:col>
      <xdr:colOff>324135</xdr:colOff>
      <xdr:row>68</xdr:row>
      <xdr:rowOff>148988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ED3FF59-B013-CA7A-A2E4-F0DF8EF2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9950</xdr:colOff>
      <xdr:row>159</xdr:row>
      <xdr:rowOff>7392</xdr:rowOff>
    </xdr:from>
    <xdr:to>
      <xdr:col>14</xdr:col>
      <xdr:colOff>302808</xdr:colOff>
      <xdr:row>173</xdr:row>
      <xdr:rowOff>163204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D50D7CD-2AC0-4AFB-5FC4-79193F4FC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15</xdr:col>
      <xdr:colOff>17060</xdr:colOff>
      <xdr:row>158</xdr:row>
      <xdr:rowOff>177991</xdr:rowOff>
    </xdr:from>
    <xdr:to>
      <xdr:col>22</xdr:col>
      <xdr:colOff>309919</xdr:colOff>
      <xdr:row>173</xdr:row>
      <xdr:rowOff>148989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81DEF01-2A53-3220-4606-F10DA17D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45494</xdr:colOff>
      <xdr:row>159</xdr:row>
      <xdr:rowOff>21608</xdr:rowOff>
    </xdr:from>
    <xdr:to>
      <xdr:col>30</xdr:col>
      <xdr:colOff>338352</xdr:colOff>
      <xdr:row>173</xdr:row>
      <xdr:rowOff>177420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352865E-3E78-1FFA-3F92-F17F24B5E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15</xdr:col>
      <xdr:colOff>9950</xdr:colOff>
      <xdr:row>122</xdr:row>
      <xdr:rowOff>50041</xdr:rowOff>
    </xdr:from>
    <xdr:to>
      <xdr:col>22</xdr:col>
      <xdr:colOff>302809</xdr:colOff>
      <xdr:row>137</xdr:row>
      <xdr:rowOff>21040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31D5885-7393-2F19-A33B-FD983D86D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17061</xdr:colOff>
      <xdr:row>122</xdr:row>
      <xdr:rowOff>35825</xdr:rowOff>
    </xdr:from>
    <xdr:to>
      <xdr:col>30</xdr:col>
      <xdr:colOff>309919</xdr:colOff>
      <xdr:row>137</xdr:row>
      <xdr:rowOff>6824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0A837B1-9DFB-E5DA-A592-2E9CD71DE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90E4-7072-41AE-AEC1-85F141ED2FAD}">
  <dimension ref="A1:V229"/>
  <sheetViews>
    <sheetView topLeftCell="A102" zoomScale="96" zoomScaleNormal="61" workbookViewId="0">
      <selection activeCell="E114" sqref="E114"/>
    </sheetView>
  </sheetViews>
  <sheetFormatPr defaultRowHeight="15" x14ac:dyDescent="0.25"/>
  <cols>
    <col min="1" max="1" width="36.42578125" customWidth="1"/>
    <col min="2" max="2" width="11.42578125" bestFit="1" customWidth="1"/>
    <col min="3" max="7" width="12.5703125" bestFit="1" customWidth="1"/>
    <col min="9" max="10" width="12.28515625" customWidth="1"/>
    <col min="11" max="12" width="14" customWidth="1"/>
    <col min="13" max="14" width="15.28515625" customWidth="1"/>
    <col min="15" max="16" width="13.42578125" customWidth="1"/>
    <col min="17" max="17" width="12.28515625" customWidth="1"/>
    <col min="19" max="19" width="12" customWidth="1"/>
    <col min="21" max="21" width="12.85546875" customWidth="1"/>
  </cols>
  <sheetData>
    <row r="1" spans="1:21" x14ac:dyDescent="0.25">
      <c r="A1" s="5"/>
      <c r="B1" s="5"/>
      <c r="C1" s="7"/>
      <c r="D1" s="7"/>
      <c r="E1" s="7"/>
      <c r="F1" s="7"/>
      <c r="G1" s="7"/>
    </row>
    <row r="2" spans="1:21" x14ac:dyDescent="0.25">
      <c r="A2" s="59"/>
      <c r="B2" s="59"/>
      <c r="C2" s="61"/>
      <c r="D2" s="61"/>
      <c r="E2" s="61"/>
      <c r="F2" s="61"/>
      <c r="G2" s="61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</row>
    <row r="3" spans="1:21" ht="23.25" x14ac:dyDescent="0.35">
      <c r="A3" s="476" t="s">
        <v>0</v>
      </c>
      <c r="B3" s="477"/>
      <c r="C3" s="477"/>
      <c r="D3" s="477"/>
      <c r="E3" s="477"/>
      <c r="F3" s="477"/>
      <c r="G3" s="478"/>
      <c r="I3" s="8"/>
      <c r="J3" s="8"/>
      <c r="K3" s="8"/>
      <c r="L3" s="8"/>
      <c r="M3" s="8"/>
      <c r="N3" s="8"/>
      <c r="O3" s="8"/>
      <c r="P3" s="8"/>
      <c r="Q3" s="7"/>
      <c r="R3" s="3"/>
      <c r="S3" s="4"/>
      <c r="T3" s="3"/>
      <c r="U3" s="3"/>
    </row>
    <row r="4" spans="1:21" ht="23.25" x14ac:dyDescent="0.35">
      <c r="A4" s="476" t="s">
        <v>1</v>
      </c>
      <c r="B4" s="477"/>
      <c r="C4" s="477"/>
      <c r="D4" s="477"/>
      <c r="E4" s="477"/>
      <c r="F4" s="477"/>
      <c r="G4" s="478"/>
      <c r="I4" s="7"/>
      <c r="J4" s="7"/>
      <c r="K4" s="8"/>
      <c r="L4" s="8"/>
      <c r="M4" s="8"/>
      <c r="N4" s="8"/>
      <c r="O4" s="8"/>
      <c r="P4" s="8"/>
      <c r="Q4" s="7"/>
      <c r="R4" s="3"/>
      <c r="S4" s="4"/>
      <c r="T4" s="3"/>
      <c r="U4" s="3"/>
    </row>
    <row r="5" spans="1:21" ht="23.25" x14ac:dyDescent="0.35">
      <c r="A5" s="476" t="s">
        <v>43</v>
      </c>
      <c r="B5" s="477"/>
      <c r="C5" s="477"/>
      <c r="D5" s="477"/>
      <c r="E5" s="477"/>
      <c r="F5" s="477"/>
      <c r="G5" s="478"/>
      <c r="I5" s="8"/>
      <c r="J5" s="8"/>
      <c r="K5" s="8"/>
      <c r="L5" s="8"/>
      <c r="M5" s="8"/>
      <c r="N5" s="8"/>
      <c r="O5" s="8"/>
      <c r="P5" s="8"/>
      <c r="Q5" s="7"/>
      <c r="R5" s="3"/>
      <c r="S5" s="4"/>
      <c r="T5" s="3"/>
      <c r="U5" s="3"/>
    </row>
    <row r="6" spans="1:21" ht="14.25" customHeight="1" x14ac:dyDescent="0.25">
      <c r="A6" s="62"/>
      <c r="B6" s="63"/>
      <c r="C6" s="64">
        <v>2020</v>
      </c>
      <c r="D6" s="64">
        <v>2021</v>
      </c>
      <c r="E6" s="64">
        <v>2022</v>
      </c>
      <c r="F6" s="64">
        <v>2023</v>
      </c>
      <c r="G6" s="64">
        <v>2024</v>
      </c>
      <c r="I6" s="8"/>
      <c r="J6" s="8"/>
      <c r="K6" s="8"/>
      <c r="L6" s="8"/>
      <c r="M6" s="8"/>
      <c r="N6" s="8"/>
      <c r="O6" s="8"/>
      <c r="P6" s="8"/>
      <c r="Q6" s="7"/>
      <c r="R6" s="3"/>
      <c r="S6" s="4"/>
      <c r="T6" s="3"/>
      <c r="U6" s="3"/>
    </row>
    <row r="7" spans="1:21" x14ac:dyDescent="0.25">
      <c r="A7" s="65" t="s">
        <v>2</v>
      </c>
      <c r="B7" s="65"/>
      <c r="C7" s="66"/>
      <c r="D7" s="66"/>
      <c r="E7" s="66"/>
      <c r="F7" s="66"/>
      <c r="G7" s="66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</row>
    <row r="8" spans="1:21" x14ac:dyDescent="0.25">
      <c r="A8" s="67" t="s">
        <v>3</v>
      </c>
      <c r="B8" s="67"/>
      <c r="C8" s="68"/>
      <c r="D8" s="68"/>
      <c r="E8" s="68"/>
      <c r="F8" s="68"/>
      <c r="G8" s="68"/>
      <c r="I8" s="8"/>
      <c r="J8" s="8"/>
      <c r="K8" s="8"/>
      <c r="L8" s="8"/>
      <c r="M8" s="8"/>
      <c r="N8" s="8"/>
      <c r="O8" s="8"/>
      <c r="P8" s="8"/>
      <c r="Q8" s="7"/>
      <c r="R8" s="3"/>
      <c r="S8" s="4"/>
      <c r="T8" s="3"/>
      <c r="U8" s="3"/>
    </row>
    <row r="9" spans="1:21" x14ac:dyDescent="0.25">
      <c r="A9" s="69" t="s">
        <v>4</v>
      </c>
      <c r="B9" s="70"/>
      <c r="C9" s="71">
        <v>2495847</v>
      </c>
      <c r="D9" s="71">
        <v>2496633</v>
      </c>
      <c r="E9" s="71">
        <v>2357465</v>
      </c>
      <c r="F9" s="71">
        <v>2284432</v>
      </c>
      <c r="G9" s="72">
        <v>2092699</v>
      </c>
      <c r="I9" s="8"/>
      <c r="J9" s="8"/>
      <c r="K9" s="8"/>
      <c r="L9" s="8"/>
      <c r="M9" s="8"/>
      <c r="N9" s="8"/>
      <c r="O9" s="8"/>
      <c r="P9" s="8"/>
      <c r="Q9" s="7"/>
      <c r="R9" s="3"/>
      <c r="S9" s="4"/>
      <c r="T9" s="3"/>
      <c r="U9" s="3"/>
    </row>
    <row r="10" spans="1:21" x14ac:dyDescent="0.25">
      <c r="A10" s="72" t="s">
        <v>5</v>
      </c>
      <c r="B10" s="72"/>
      <c r="C10" s="72">
        <v>0</v>
      </c>
      <c r="D10" s="71">
        <v>11659</v>
      </c>
      <c r="E10" s="71">
        <v>14474</v>
      </c>
      <c r="F10" s="71">
        <v>7237</v>
      </c>
      <c r="G10" s="72">
        <v>14849</v>
      </c>
      <c r="I10" s="8"/>
      <c r="J10" s="8"/>
      <c r="K10" s="8"/>
      <c r="L10" s="8"/>
      <c r="M10" s="8"/>
      <c r="N10" s="8"/>
      <c r="O10" s="8"/>
      <c r="P10" s="8"/>
      <c r="Q10" s="7"/>
      <c r="R10" s="3"/>
      <c r="S10" s="4"/>
      <c r="T10" s="3"/>
      <c r="U10" s="3"/>
    </row>
    <row r="11" spans="1:21" x14ac:dyDescent="0.25">
      <c r="A11" s="69" t="s">
        <v>6</v>
      </c>
      <c r="B11" s="70"/>
      <c r="C11" s="71">
        <v>2696602</v>
      </c>
      <c r="D11" s="71">
        <v>2806226</v>
      </c>
      <c r="E11" s="71">
        <v>2155805</v>
      </c>
      <c r="F11" s="71">
        <v>1908277</v>
      </c>
      <c r="G11" s="72">
        <v>3542201</v>
      </c>
      <c r="I11" s="7"/>
      <c r="J11" s="7"/>
      <c r="K11" s="8"/>
      <c r="L11" s="8"/>
      <c r="M11" s="8"/>
      <c r="N11" s="8"/>
      <c r="O11" s="8"/>
      <c r="P11" s="8"/>
      <c r="Q11" s="7"/>
      <c r="R11" s="3"/>
      <c r="S11" s="4"/>
      <c r="T11" s="3"/>
      <c r="U11" s="3"/>
    </row>
    <row r="12" spans="1:21" x14ac:dyDescent="0.25">
      <c r="A12" s="69" t="s">
        <v>7</v>
      </c>
      <c r="B12" s="70"/>
      <c r="C12" s="71">
        <v>5474</v>
      </c>
      <c r="D12" s="71">
        <v>7443</v>
      </c>
      <c r="E12" s="71">
        <v>14828</v>
      </c>
      <c r="F12" s="71">
        <v>17529</v>
      </c>
      <c r="G12" s="72">
        <v>15259</v>
      </c>
      <c r="I12" s="8"/>
      <c r="J12" s="8"/>
      <c r="K12" s="8"/>
      <c r="L12" s="8"/>
      <c r="M12" s="8"/>
      <c r="N12" s="8"/>
      <c r="O12" s="8"/>
      <c r="P12" s="8"/>
      <c r="Q12" s="7"/>
      <c r="R12" s="3"/>
      <c r="S12" s="4"/>
      <c r="T12" s="3"/>
      <c r="U12" s="4"/>
    </row>
    <row r="13" spans="1:21" x14ac:dyDescent="0.25">
      <c r="A13" s="69" t="s">
        <v>8</v>
      </c>
      <c r="B13" s="70"/>
      <c r="C13" s="71">
        <v>3928</v>
      </c>
      <c r="D13" s="71">
        <v>3948</v>
      </c>
      <c r="E13" s="71">
        <v>3972</v>
      </c>
      <c r="F13" s="71">
        <v>3972</v>
      </c>
      <c r="G13" s="72">
        <v>3972</v>
      </c>
      <c r="I13" s="7"/>
      <c r="J13" s="7"/>
      <c r="K13" s="7"/>
      <c r="L13" s="7"/>
      <c r="M13" s="7"/>
      <c r="N13" s="7"/>
      <c r="O13" s="7"/>
      <c r="P13" s="7"/>
      <c r="Q13" s="7"/>
      <c r="R13" s="3"/>
      <c r="S13" s="3"/>
      <c r="T13" s="3"/>
      <c r="U13" s="3"/>
    </row>
    <row r="14" spans="1:21" x14ac:dyDescent="0.25">
      <c r="A14" s="69" t="s">
        <v>9</v>
      </c>
      <c r="B14" s="70"/>
      <c r="C14" s="71">
        <v>5201851</v>
      </c>
      <c r="D14" s="71">
        <v>5325909</v>
      </c>
      <c r="E14" s="71">
        <v>4546544</v>
      </c>
      <c r="F14" s="71">
        <v>4221447</v>
      </c>
      <c r="G14" s="72">
        <v>5668980</v>
      </c>
      <c r="I14" s="7"/>
      <c r="J14" s="7"/>
      <c r="K14" s="7"/>
      <c r="L14" s="7"/>
      <c r="M14" s="7"/>
      <c r="N14" s="7"/>
      <c r="O14" s="7"/>
      <c r="P14" s="7"/>
      <c r="Q14" s="7"/>
      <c r="R14" s="3"/>
      <c r="S14" s="3"/>
      <c r="T14" s="3"/>
      <c r="U14" s="3"/>
    </row>
    <row r="15" spans="1:21" x14ac:dyDescent="0.25">
      <c r="A15" s="67" t="s">
        <v>10</v>
      </c>
      <c r="B15" s="67"/>
      <c r="C15" s="68"/>
      <c r="D15" s="68"/>
      <c r="E15" s="68"/>
      <c r="F15" s="68"/>
      <c r="G15" s="68"/>
      <c r="I15" s="7"/>
      <c r="J15" s="7"/>
      <c r="K15" s="321"/>
      <c r="L15" s="321"/>
      <c r="M15" s="321"/>
      <c r="N15" s="321"/>
      <c r="O15" s="321"/>
      <c r="P15" s="7"/>
      <c r="Q15" s="7"/>
      <c r="R15" s="3"/>
      <c r="S15" s="3"/>
      <c r="T15" s="3"/>
      <c r="U15" s="3"/>
    </row>
    <row r="16" spans="1:21" x14ac:dyDescent="0.25">
      <c r="A16" s="69" t="s">
        <v>11</v>
      </c>
      <c r="B16" s="70"/>
      <c r="C16" s="71">
        <v>189864</v>
      </c>
      <c r="D16" s="71">
        <v>195024</v>
      </c>
      <c r="E16" s="71">
        <v>274960</v>
      </c>
      <c r="F16" s="71">
        <v>387261</v>
      </c>
      <c r="G16" s="72">
        <v>353120</v>
      </c>
      <c r="I16" s="7"/>
      <c r="J16" s="7"/>
      <c r="K16" s="321"/>
      <c r="L16" s="321"/>
      <c r="M16" s="321"/>
      <c r="N16" s="321"/>
      <c r="O16" s="321"/>
      <c r="P16" s="8"/>
      <c r="Q16" s="8"/>
      <c r="R16" s="3"/>
      <c r="S16" s="4"/>
      <c r="T16" s="3"/>
      <c r="U16" s="4"/>
    </row>
    <row r="17" spans="1:21" x14ac:dyDescent="0.25">
      <c r="A17" s="69" t="s">
        <v>12</v>
      </c>
      <c r="B17" s="70"/>
      <c r="C17" s="71">
        <v>876021</v>
      </c>
      <c r="D17" s="71">
        <v>1894571</v>
      </c>
      <c r="E17" s="71">
        <v>5004293</v>
      </c>
      <c r="F17" s="71">
        <v>3957133</v>
      </c>
      <c r="G17" s="72">
        <v>5389802</v>
      </c>
      <c r="I17" s="7"/>
      <c r="J17" s="7"/>
      <c r="K17" s="321"/>
      <c r="L17" s="321"/>
      <c r="M17" s="321"/>
      <c r="N17" s="321"/>
      <c r="O17" s="321"/>
      <c r="P17" s="8"/>
      <c r="Q17" s="8"/>
      <c r="R17" s="3"/>
      <c r="S17" s="4"/>
      <c r="T17" s="3"/>
      <c r="U17" s="4"/>
    </row>
    <row r="18" spans="1:21" x14ac:dyDescent="0.25">
      <c r="A18" s="69" t="s">
        <v>13</v>
      </c>
      <c r="B18" s="70"/>
      <c r="C18" s="71">
        <v>149005</v>
      </c>
      <c r="D18" s="71">
        <v>407453</v>
      </c>
      <c r="E18" s="71">
        <v>324143</v>
      </c>
      <c r="F18" s="71">
        <v>1160742</v>
      </c>
      <c r="G18" s="72">
        <v>859516</v>
      </c>
      <c r="I18" s="8"/>
      <c r="J18" s="8"/>
      <c r="K18" s="8"/>
      <c r="L18" s="8"/>
      <c r="M18" s="8"/>
      <c r="N18" s="8"/>
      <c r="O18" s="8"/>
      <c r="P18" s="8"/>
      <c r="Q18" s="8"/>
      <c r="R18" s="3"/>
      <c r="S18" s="4"/>
      <c r="T18" s="3"/>
      <c r="U18" s="4"/>
    </row>
    <row r="19" spans="1:21" x14ac:dyDescent="0.25">
      <c r="A19" s="69" t="s">
        <v>14</v>
      </c>
      <c r="B19" s="70"/>
      <c r="C19" s="71">
        <v>520580</v>
      </c>
      <c r="D19" s="71">
        <v>50430</v>
      </c>
      <c r="E19" s="71">
        <v>76069</v>
      </c>
      <c r="F19" s="71">
        <v>186108</v>
      </c>
      <c r="G19" s="72">
        <v>774407</v>
      </c>
      <c r="I19" s="5"/>
      <c r="J19" s="5"/>
      <c r="K19" s="400"/>
      <c r="L19" s="400"/>
      <c r="M19" s="400"/>
      <c r="N19" s="400"/>
      <c r="O19" s="400"/>
      <c r="P19" s="8"/>
      <c r="Q19" s="8"/>
      <c r="R19" s="3"/>
      <c r="S19" s="4"/>
      <c r="T19" s="3"/>
      <c r="U19" s="4"/>
    </row>
    <row r="20" spans="1:21" ht="30" x14ac:dyDescent="0.25">
      <c r="A20" s="69" t="s">
        <v>15</v>
      </c>
      <c r="B20" s="70"/>
      <c r="C20" s="71">
        <v>520580</v>
      </c>
      <c r="D20" s="71">
        <v>16236</v>
      </c>
      <c r="E20" s="71">
        <v>20483</v>
      </c>
      <c r="F20" s="71">
        <v>64087</v>
      </c>
      <c r="G20" s="72">
        <v>43537</v>
      </c>
      <c r="I20" s="7"/>
      <c r="J20" s="7"/>
      <c r="K20" s="7"/>
      <c r="L20" s="7"/>
      <c r="M20" s="7"/>
      <c r="N20" s="7"/>
      <c r="O20" s="7"/>
      <c r="P20" s="7"/>
      <c r="Q20" s="7"/>
      <c r="R20" s="3"/>
      <c r="S20" s="3"/>
      <c r="T20" s="3"/>
      <c r="U20" s="3"/>
    </row>
    <row r="21" spans="1:21" ht="18.600000000000001" customHeight="1" x14ac:dyDescent="0.25">
      <c r="A21" s="69" t="s">
        <v>16</v>
      </c>
      <c r="B21" s="70"/>
      <c r="C21" s="71">
        <v>14637</v>
      </c>
      <c r="D21" s="71">
        <v>21721</v>
      </c>
      <c r="E21" s="71">
        <v>23964</v>
      </c>
      <c r="F21" s="71">
        <v>32793</v>
      </c>
      <c r="G21" s="72">
        <v>534</v>
      </c>
      <c r="I21" s="8"/>
      <c r="J21" s="8"/>
      <c r="K21" s="8"/>
      <c r="L21" s="8"/>
      <c r="M21" s="8"/>
      <c r="N21" s="8"/>
      <c r="O21" s="8"/>
      <c r="P21" s="8"/>
      <c r="Q21" s="8"/>
      <c r="R21" s="3"/>
      <c r="S21" s="4"/>
      <c r="T21" s="3"/>
      <c r="U21" s="4"/>
    </row>
    <row r="22" spans="1:21" x14ac:dyDescent="0.25">
      <c r="A22" s="69" t="s">
        <v>17</v>
      </c>
      <c r="B22" s="70"/>
      <c r="C22" s="71">
        <v>45961</v>
      </c>
      <c r="D22" s="71">
        <v>25841</v>
      </c>
      <c r="E22" s="71">
        <v>11277</v>
      </c>
      <c r="F22" s="71">
        <v>12753</v>
      </c>
      <c r="G22" s="72">
        <v>18315</v>
      </c>
      <c r="I22" s="7"/>
      <c r="J22" s="7"/>
      <c r="K22" s="8"/>
      <c r="L22" s="8"/>
      <c r="M22" s="8"/>
      <c r="N22" s="8"/>
      <c r="O22" s="8"/>
      <c r="P22" s="8"/>
      <c r="Q22" s="7"/>
      <c r="R22" s="3"/>
      <c r="S22" s="4"/>
      <c r="T22" s="3"/>
      <c r="U22" s="3"/>
    </row>
    <row r="23" spans="1:21" x14ac:dyDescent="0.25">
      <c r="A23" s="69" t="s">
        <v>18</v>
      </c>
      <c r="B23" s="70"/>
      <c r="C23" s="71">
        <v>26682</v>
      </c>
      <c r="D23" s="71">
        <v>86498</v>
      </c>
      <c r="E23" s="72">
        <v>0</v>
      </c>
      <c r="F23" s="72">
        <v>0</v>
      </c>
      <c r="G23" s="72">
        <v>0</v>
      </c>
      <c r="I23" s="8"/>
      <c r="J23" s="8"/>
      <c r="K23" s="8"/>
      <c r="L23" s="8"/>
      <c r="M23" s="8"/>
      <c r="N23" s="8"/>
      <c r="O23" s="7"/>
      <c r="P23" s="7"/>
      <c r="Q23" s="8"/>
      <c r="R23" s="3"/>
      <c r="S23" s="3"/>
      <c r="T23" s="3"/>
      <c r="U23" s="4"/>
    </row>
    <row r="24" spans="1:21" x14ac:dyDescent="0.25">
      <c r="A24" s="69" t="s">
        <v>19</v>
      </c>
      <c r="B24" s="69"/>
      <c r="C24" s="72">
        <v>0</v>
      </c>
      <c r="D24" s="71">
        <v>3542585</v>
      </c>
      <c r="E24" s="71">
        <v>2705738</v>
      </c>
      <c r="F24" s="71">
        <v>6412471</v>
      </c>
      <c r="G24" s="72">
        <v>5780392</v>
      </c>
      <c r="I24" s="8"/>
      <c r="J24" s="8"/>
      <c r="K24" s="8"/>
      <c r="L24" s="8"/>
      <c r="M24" s="8"/>
      <c r="N24" s="8"/>
      <c r="O24" s="8"/>
      <c r="P24" s="8"/>
      <c r="Q24" s="8"/>
      <c r="R24" s="3"/>
      <c r="S24" s="4"/>
      <c r="T24" s="3"/>
      <c r="U24" s="4"/>
    </row>
    <row r="25" spans="1:21" x14ac:dyDescent="0.25">
      <c r="A25" s="69" t="s">
        <v>20</v>
      </c>
      <c r="B25" s="70"/>
      <c r="C25" s="71">
        <v>4071821</v>
      </c>
      <c r="D25" s="71">
        <v>268863</v>
      </c>
      <c r="E25" s="71">
        <v>545972</v>
      </c>
      <c r="F25" s="71">
        <v>1274264</v>
      </c>
      <c r="G25" s="72">
        <v>1101319</v>
      </c>
      <c r="I25" s="7"/>
      <c r="J25" s="7"/>
      <c r="K25" s="7"/>
      <c r="L25" s="7"/>
      <c r="M25" s="7"/>
      <c r="N25" s="7"/>
      <c r="O25" s="7"/>
      <c r="P25" s="7"/>
      <c r="Q25" s="8"/>
      <c r="R25" s="3"/>
      <c r="S25" s="3"/>
      <c r="T25" s="3"/>
      <c r="U25" s="4"/>
    </row>
    <row r="26" spans="1:21" x14ac:dyDescent="0.25">
      <c r="A26" s="69" t="s">
        <v>21</v>
      </c>
      <c r="B26" s="70"/>
      <c r="C26" s="71">
        <v>5904354</v>
      </c>
      <c r="D26" s="71">
        <v>6509222</v>
      </c>
      <c r="E26" s="71">
        <v>8986899</v>
      </c>
      <c r="F26" s="71">
        <v>13487612</v>
      </c>
      <c r="G26" s="72">
        <v>14320942</v>
      </c>
      <c r="I26" s="8"/>
      <c r="J26" s="8"/>
      <c r="K26" s="8"/>
      <c r="L26" s="8"/>
      <c r="M26" s="8"/>
      <c r="N26" s="8"/>
      <c r="O26" s="8"/>
      <c r="P26" s="8"/>
      <c r="Q26" s="7"/>
      <c r="R26" s="3"/>
      <c r="S26" s="4"/>
      <c r="T26" s="3"/>
      <c r="U26" s="3"/>
    </row>
    <row r="27" spans="1:21" x14ac:dyDescent="0.25">
      <c r="A27" s="67" t="s">
        <v>22</v>
      </c>
      <c r="B27" s="73"/>
      <c r="C27" s="74">
        <v>11106205</v>
      </c>
      <c r="D27" s="74">
        <v>11835131</v>
      </c>
      <c r="E27" s="74">
        <v>13533443</v>
      </c>
      <c r="F27" s="74">
        <v>17709059</v>
      </c>
      <c r="G27" s="68">
        <v>19989922</v>
      </c>
      <c r="I27" s="7"/>
      <c r="J27" s="7"/>
      <c r="K27" s="7"/>
      <c r="L27" s="7"/>
      <c r="M27" s="7"/>
      <c r="N27" s="7"/>
      <c r="O27" s="8"/>
      <c r="P27" s="8"/>
      <c r="Q27" s="8"/>
      <c r="R27" s="3"/>
      <c r="S27" s="4"/>
      <c r="T27" s="3"/>
      <c r="U27" s="4"/>
    </row>
    <row r="28" spans="1:21" x14ac:dyDescent="0.25">
      <c r="A28" s="69"/>
      <c r="B28" s="69"/>
      <c r="C28" s="72"/>
      <c r="D28" s="72"/>
      <c r="E28" s="72"/>
      <c r="F28" s="72"/>
      <c r="G28" s="72"/>
      <c r="I28" s="8"/>
      <c r="J28" s="8"/>
      <c r="K28" s="8"/>
      <c r="L28" s="8"/>
      <c r="M28" s="8"/>
      <c r="N28" s="8"/>
      <c r="O28" s="8"/>
      <c r="P28" s="8"/>
      <c r="Q28" s="8"/>
      <c r="R28" s="3"/>
      <c r="S28" s="4"/>
      <c r="T28" s="3"/>
      <c r="U28" s="4"/>
    </row>
    <row r="29" spans="1:21" x14ac:dyDescent="0.25">
      <c r="A29" s="65" t="s">
        <v>23</v>
      </c>
      <c r="B29" s="65"/>
      <c r="C29" s="66"/>
      <c r="D29" s="66"/>
      <c r="E29" s="66"/>
      <c r="F29" s="66"/>
      <c r="G29" s="66"/>
      <c r="I29" s="7"/>
      <c r="J29" s="7"/>
      <c r="K29" s="7"/>
      <c r="L29" s="7"/>
      <c r="M29" s="7"/>
      <c r="N29" s="7"/>
      <c r="O29" s="8"/>
      <c r="P29" s="8"/>
      <c r="Q29" s="8"/>
      <c r="R29" s="3"/>
      <c r="S29" s="4"/>
      <c r="T29" s="3"/>
      <c r="U29" s="4"/>
    </row>
    <row r="30" spans="1:21" x14ac:dyDescent="0.25">
      <c r="A30" s="67" t="s">
        <v>24</v>
      </c>
      <c r="B30" s="67"/>
      <c r="C30" s="68"/>
      <c r="D30" s="68"/>
      <c r="E30" s="68"/>
      <c r="F30" s="68"/>
      <c r="G30" s="68"/>
      <c r="I30" s="7"/>
      <c r="J30" s="7"/>
      <c r="K30" s="7"/>
      <c r="L30" s="7"/>
      <c r="M30" s="8"/>
      <c r="N30" s="8"/>
      <c r="O30" s="8"/>
      <c r="P30" s="8"/>
      <c r="Q30" s="8"/>
      <c r="R30" s="3"/>
      <c r="S30" s="4"/>
      <c r="T30" s="3"/>
      <c r="U30" s="4"/>
    </row>
    <row r="31" spans="1:21" x14ac:dyDescent="0.25">
      <c r="A31" s="72" t="s">
        <v>25</v>
      </c>
      <c r="B31" s="71"/>
      <c r="C31" s="71">
        <v>750000</v>
      </c>
      <c r="D31" s="71">
        <v>750000</v>
      </c>
      <c r="E31" s="71">
        <v>750000</v>
      </c>
      <c r="F31" s="71">
        <v>750000</v>
      </c>
      <c r="G31" s="71">
        <v>675000</v>
      </c>
      <c r="I31" s="8"/>
      <c r="J31" s="8"/>
      <c r="K31" s="8"/>
      <c r="L31" s="8"/>
      <c r="M31" s="8"/>
      <c r="N31" s="8"/>
      <c r="O31" s="8"/>
      <c r="P31" s="8"/>
      <c r="Q31" s="8"/>
      <c r="R31" s="3"/>
      <c r="S31" s="4"/>
      <c r="T31" s="3"/>
      <c r="U31" s="4"/>
    </row>
    <row r="32" spans="1:21" x14ac:dyDescent="0.25">
      <c r="A32" s="72" t="s">
        <v>26</v>
      </c>
      <c r="B32" s="71"/>
      <c r="C32" s="71">
        <v>7872962</v>
      </c>
      <c r="D32" s="71">
        <v>8510094</v>
      </c>
      <c r="E32" s="71">
        <v>8770002</v>
      </c>
      <c r="F32" s="71">
        <v>10565406</v>
      </c>
      <c r="G32" s="71">
        <v>12498094</v>
      </c>
      <c r="I32" s="8"/>
      <c r="J32" s="8"/>
      <c r="K32" s="8"/>
      <c r="L32" s="8"/>
      <c r="M32" s="8"/>
      <c r="N32" s="8"/>
      <c r="O32" s="8"/>
      <c r="P32" s="8"/>
      <c r="Q32" s="8"/>
      <c r="R32" s="3"/>
      <c r="S32" s="4"/>
      <c r="T32" s="3"/>
      <c r="U32" s="4"/>
    </row>
    <row r="33" spans="1:21" x14ac:dyDescent="0.25">
      <c r="A33" s="69" t="s">
        <v>27</v>
      </c>
      <c r="B33" s="70"/>
      <c r="C33" s="71">
        <v>8622962</v>
      </c>
      <c r="D33" s="71">
        <v>9260094</v>
      </c>
      <c r="E33" s="71">
        <v>9520002</v>
      </c>
      <c r="F33" s="71">
        <v>11315406</v>
      </c>
      <c r="G33" s="71">
        <v>13173094</v>
      </c>
      <c r="I33" s="8"/>
      <c r="J33" s="8"/>
      <c r="K33" s="8"/>
      <c r="L33" s="8"/>
      <c r="M33" s="8"/>
      <c r="N33" s="8"/>
      <c r="O33" s="8"/>
      <c r="P33" s="8"/>
      <c r="Q33" s="8"/>
      <c r="R33" s="3"/>
      <c r="S33" s="4"/>
      <c r="T33" s="3"/>
      <c r="U33" s="4"/>
    </row>
    <row r="34" spans="1:21" x14ac:dyDescent="0.25">
      <c r="A34" s="67" t="s">
        <v>28</v>
      </c>
      <c r="B34" s="67"/>
      <c r="C34" s="68"/>
      <c r="D34" s="68"/>
      <c r="E34" s="68"/>
      <c r="F34" s="68"/>
      <c r="G34" s="68"/>
    </row>
    <row r="35" spans="1:21" x14ac:dyDescent="0.25">
      <c r="A35" s="72" t="s">
        <v>29</v>
      </c>
      <c r="B35" s="71"/>
      <c r="C35" s="71">
        <v>29000</v>
      </c>
      <c r="D35" s="71">
        <v>83000</v>
      </c>
      <c r="E35" s="71">
        <v>92000</v>
      </c>
      <c r="F35" s="71">
        <v>180500</v>
      </c>
      <c r="G35" s="71">
        <v>328500</v>
      </c>
    </row>
    <row r="36" spans="1:21" x14ac:dyDescent="0.25">
      <c r="A36" s="72" t="s">
        <v>30</v>
      </c>
      <c r="B36" s="72"/>
      <c r="C36" s="72">
        <v>0</v>
      </c>
      <c r="D36" s="71">
        <v>84092</v>
      </c>
      <c r="E36" s="71">
        <v>76822</v>
      </c>
      <c r="F36" s="71">
        <v>71432</v>
      </c>
      <c r="G36" s="72">
        <v>0</v>
      </c>
    </row>
    <row r="37" spans="1:21" x14ac:dyDescent="0.25">
      <c r="A37" s="69" t="s">
        <v>31</v>
      </c>
      <c r="B37" s="69"/>
      <c r="C37" s="71">
        <v>13948</v>
      </c>
      <c r="D37" s="71">
        <v>7630</v>
      </c>
      <c r="E37" s="71">
        <v>9573</v>
      </c>
      <c r="F37" s="72">
        <v>0</v>
      </c>
      <c r="G37" s="71">
        <v>10798</v>
      </c>
    </row>
    <row r="38" spans="1:21" x14ac:dyDescent="0.25">
      <c r="A38" s="69" t="s">
        <v>32</v>
      </c>
      <c r="B38" s="69"/>
      <c r="C38" s="71">
        <v>42948</v>
      </c>
      <c r="D38" s="71">
        <v>174722</v>
      </c>
      <c r="E38" s="71">
        <v>178395</v>
      </c>
      <c r="F38" s="71">
        <v>251932</v>
      </c>
      <c r="G38" s="71">
        <v>339298</v>
      </c>
    </row>
    <row r="39" spans="1:21" x14ac:dyDescent="0.25">
      <c r="A39" s="67" t="s">
        <v>33</v>
      </c>
      <c r="B39" s="67"/>
      <c r="C39" s="68"/>
      <c r="D39" s="68"/>
      <c r="E39" s="68"/>
      <c r="F39" s="68"/>
      <c r="G39" s="68"/>
    </row>
    <row r="40" spans="1:21" x14ac:dyDescent="0.25">
      <c r="A40" s="72" t="s">
        <v>34</v>
      </c>
      <c r="B40" s="71"/>
      <c r="C40" s="71">
        <v>2027986</v>
      </c>
      <c r="D40" s="71">
        <v>1813802</v>
      </c>
      <c r="E40" s="71">
        <v>1890513</v>
      </c>
      <c r="F40" s="71">
        <v>2956821</v>
      </c>
      <c r="G40" s="71">
        <v>3092874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72" t="s">
        <v>35</v>
      </c>
      <c r="B41" s="72"/>
      <c r="C41" s="72">
        <v>0</v>
      </c>
      <c r="D41" s="72">
        <v>0</v>
      </c>
      <c r="E41" s="72">
        <v>0</v>
      </c>
      <c r="F41" s="72">
        <v>0</v>
      </c>
      <c r="G41" s="71">
        <v>2115996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72" t="s">
        <v>36</v>
      </c>
      <c r="B42" s="71"/>
      <c r="C42" s="71">
        <v>320406</v>
      </c>
      <c r="D42" s="71">
        <v>482464</v>
      </c>
      <c r="E42" s="71">
        <v>1810835</v>
      </c>
      <c r="F42" s="71">
        <v>1615781</v>
      </c>
      <c r="G42" s="72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72" t="s">
        <v>37</v>
      </c>
      <c r="B43" s="72"/>
      <c r="C43" s="72">
        <v>0</v>
      </c>
      <c r="D43" s="72">
        <v>0</v>
      </c>
      <c r="E43" s="72">
        <v>0</v>
      </c>
      <c r="F43" s="71">
        <v>1156626</v>
      </c>
      <c r="G43" s="71">
        <v>906732</v>
      </c>
      <c r="I43" s="4"/>
      <c r="J43" s="4"/>
      <c r="K43" s="2"/>
      <c r="L43" s="2"/>
      <c r="M43" s="4"/>
      <c r="N43" s="4"/>
      <c r="O43" s="3"/>
      <c r="P43" s="3"/>
      <c r="Q43" s="4"/>
      <c r="R43" s="3"/>
      <c r="S43" s="4"/>
      <c r="T43" s="3"/>
      <c r="U43" s="3"/>
    </row>
    <row r="44" spans="1:21" x14ac:dyDescent="0.25">
      <c r="A44" s="72" t="s">
        <v>38</v>
      </c>
      <c r="B44" s="71"/>
      <c r="C44" s="71">
        <v>86725</v>
      </c>
      <c r="D44" s="71">
        <v>97731</v>
      </c>
      <c r="E44" s="71">
        <v>105162</v>
      </c>
      <c r="F44" s="71">
        <v>195425</v>
      </c>
      <c r="G44" s="71">
        <v>272090</v>
      </c>
      <c r="I44" s="3"/>
      <c r="J44" s="3"/>
      <c r="K44" s="2"/>
      <c r="L44" s="2"/>
      <c r="M44" s="4"/>
      <c r="N44" s="4"/>
      <c r="O44" s="3"/>
      <c r="P44" s="3"/>
      <c r="Q44" s="4"/>
      <c r="R44" s="3"/>
      <c r="S44" s="4"/>
      <c r="T44" s="3"/>
      <c r="U44" s="3"/>
    </row>
    <row r="45" spans="1:21" x14ac:dyDescent="0.25">
      <c r="A45" s="72" t="s">
        <v>39</v>
      </c>
      <c r="B45" s="72"/>
      <c r="C45" s="72">
        <v>0</v>
      </c>
      <c r="D45" s="72">
        <v>0</v>
      </c>
      <c r="E45" s="72">
        <v>0</v>
      </c>
      <c r="F45" s="71">
        <v>5440</v>
      </c>
      <c r="G45" s="71">
        <v>1917</v>
      </c>
      <c r="I45" s="4"/>
      <c r="J45" s="4"/>
      <c r="K45" s="2"/>
      <c r="L45" s="2"/>
      <c r="M45" s="4"/>
      <c r="N45" s="4"/>
      <c r="O45" s="3"/>
      <c r="P45" s="3"/>
      <c r="Q45" s="4"/>
      <c r="R45" s="3"/>
      <c r="S45" s="4"/>
      <c r="T45" s="3"/>
      <c r="U45" s="3"/>
    </row>
    <row r="46" spans="1:21" x14ac:dyDescent="0.25">
      <c r="A46" s="72" t="s">
        <v>18</v>
      </c>
      <c r="B46" s="72"/>
      <c r="C46" s="72">
        <v>0</v>
      </c>
      <c r="D46" s="72">
        <v>0</v>
      </c>
      <c r="E46" s="71">
        <v>20607</v>
      </c>
      <c r="F46" s="71">
        <v>202055</v>
      </c>
      <c r="G46" s="71">
        <v>79911</v>
      </c>
      <c r="I46" s="4"/>
      <c r="J46" s="4"/>
      <c r="K46" s="2"/>
      <c r="L46" s="2"/>
      <c r="M46" s="4"/>
      <c r="N46" s="4"/>
      <c r="O46" s="3"/>
      <c r="P46" s="3"/>
      <c r="Q46" s="4"/>
      <c r="R46" s="3"/>
      <c r="S46" s="4"/>
      <c r="T46" s="3"/>
      <c r="U46" s="3"/>
    </row>
    <row r="47" spans="1:21" x14ac:dyDescent="0.25">
      <c r="A47" s="72" t="s">
        <v>40</v>
      </c>
      <c r="B47" s="72"/>
      <c r="C47" s="71">
        <v>5178</v>
      </c>
      <c r="D47" s="71">
        <v>6318</v>
      </c>
      <c r="E47" s="71">
        <v>7929</v>
      </c>
      <c r="F47" s="71">
        <v>9573</v>
      </c>
      <c r="G47" s="71">
        <v>8010</v>
      </c>
      <c r="I47" s="4"/>
      <c r="J47" s="4"/>
      <c r="K47" s="2"/>
      <c r="L47" s="2"/>
      <c r="M47" s="4"/>
      <c r="N47" s="4"/>
      <c r="O47" s="3"/>
      <c r="P47" s="3"/>
      <c r="Q47" s="4"/>
      <c r="R47" s="3"/>
      <c r="S47" s="4"/>
      <c r="T47" s="3"/>
      <c r="U47" s="3"/>
    </row>
    <row r="48" spans="1:21" x14ac:dyDescent="0.25">
      <c r="A48" s="69" t="s">
        <v>41</v>
      </c>
      <c r="B48" s="70"/>
      <c r="C48" s="71">
        <v>2440295</v>
      </c>
      <c r="D48" s="71">
        <v>2400315</v>
      </c>
      <c r="E48" s="71">
        <v>3835046</v>
      </c>
      <c r="F48" s="71">
        <v>6141721</v>
      </c>
      <c r="G48" s="71">
        <v>6477530</v>
      </c>
      <c r="I48" s="4"/>
      <c r="J48" s="4"/>
      <c r="K48" s="2"/>
      <c r="L48" s="2"/>
      <c r="M48" s="4"/>
      <c r="N48" s="4"/>
      <c r="O48" s="3"/>
      <c r="P48" s="3"/>
      <c r="Q48" s="4"/>
      <c r="R48" s="3"/>
      <c r="S48" s="4"/>
      <c r="T48" s="3"/>
      <c r="U48" s="3"/>
    </row>
    <row r="49" spans="1:21" x14ac:dyDescent="0.25">
      <c r="A49" s="67" t="s">
        <v>42</v>
      </c>
      <c r="B49" s="73"/>
      <c r="C49" s="74">
        <v>11106205</v>
      </c>
      <c r="D49" s="74">
        <v>11835131</v>
      </c>
      <c r="E49" s="74">
        <v>13533443</v>
      </c>
      <c r="F49" s="74">
        <v>17709059</v>
      </c>
      <c r="G49" s="74">
        <v>19989922</v>
      </c>
      <c r="I49" s="3"/>
      <c r="J49" s="3"/>
      <c r="K49" s="2"/>
      <c r="L49" s="2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75"/>
      <c r="B50" s="76"/>
      <c r="C50" s="77"/>
      <c r="D50" s="77"/>
      <c r="E50" s="77"/>
      <c r="F50" s="77"/>
      <c r="G50" s="77"/>
      <c r="I50" s="4"/>
      <c r="J50" s="4"/>
      <c r="K50" s="2"/>
      <c r="L50" s="2"/>
      <c r="M50" s="4"/>
      <c r="N50" s="4"/>
      <c r="O50" s="3"/>
      <c r="P50" s="3"/>
      <c r="Q50" s="4"/>
      <c r="R50" s="3"/>
      <c r="S50" s="4"/>
      <c r="T50" s="3"/>
      <c r="U50" s="3"/>
    </row>
    <row r="51" spans="1:21" x14ac:dyDescent="0.25">
      <c r="A51" s="75"/>
      <c r="B51" s="76"/>
      <c r="C51" s="77"/>
      <c r="D51" s="77"/>
      <c r="E51" s="77"/>
      <c r="F51" s="77"/>
      <c r="G51" s="77"/>
      <c r="I51" s="4"/>
      <c r="J51" s="4"/>
      <c r="K51" s="2"/>
      <c r="L51" s="2"/>
      <c r="M51" s="4"/>
      <c r="N51" s="4"/>
      <c r="O51" s="3"/>
      <c r="P51" s="3"/>
      <c r="Q51" s="4"/>
      <c r="R51" s="3"/>
      <c r="S51" s="4"/>
      <c r="T51" s="3"/>
      <c r="U51" s="3"/>
    </row>
    <row r="52" spans="1:21" x14ac:dyDescent="0.25">
      <c r="A52" s="59"/>
      <c r="B52" s="59"/>
      <c r="C52" s="61"/>
      <c r="D52" s="61"/>
      <c r="E52" s="61"/>
      <c r="F52" s="61"/>
      <c r="G52" s="61"/>
      <c r="I52" s="4"/>
      <c r="J52" s="4"/>
      <c r="K52" s="2"/>
      <c r="L52" s="2"/>
      <c r="M52" s="4"/>
      <c r="N52" s="4"/>
      <c r="O52" s="3"/>
      <c r="P52" s="3"/>
      <c r="Q52" s="4"/>
      <c r="R52" s="3"/>
      <c r="S52" s="4"/>
      <c r="T52" s="3"/>
      <c r="U52" s="3"/>
    </row>
    <row r="53" spans="1:21" ht="23.25" x14ac:dyDescent="0.35">
      <c r="A53" s="474" t="s">
        <v>80</v>
      </c>
      <c r="B53" s="474"/>
      <c r="C53" s="474"/>
      <c r="D53" s="474"/>
      <c r="E53" s="474"/>
      <c r="F53" s="474"/>
      <c r="G53" s="474"/>
      <c r="I53" s="4"/>
      <c r="J53" s="4"/>
      <c r="K53" s="2"/>
      <c r="L53" s="2"/>
      <c r="M53" s="4"/>
      <c r="N53" s="4"/>
      <c r="O53" s="3"/>
      <c r="P53" s="3"/>
      <c r="Q53" s="4"/>
      <c r="R53" s="3"/>
      <c r="S53" s="4"/>
      <c r="T53" s="3"/>
      <c r="U53" s="3"/>
    </row>
    <row r="54" spans="1:21" ht="23.25" x14ac:dyDescent="0.35">
      <c r="A54" s="474" t="s">
        <v>207</v>
      </c>
      <c r="B54" s="474"/>
      <c r="C54" s="474"/>
      <c r="D54" s="474"/>
      <c r="E54" s="474"/>
      <c r="F54" s="474"/>
      <c r="G54" s="474"/>
      <c r="I54" s="4"/>
      <c r="J54" s="4"/>
      <c r="K54" s="2"/>
      <c r="L54" s="2"/>
      <c r="M54" s="4"/>
      <c r="N54" s="4"/>
      <c r="O54" s="3"/>
      <c r="P54" s="3"/>
      <c r="Q54" s="4"/>
      <c r="R54" s="3"/>
      <c r="S54" s="4"/>
      <c r="T54" s="3"/>
      <c r="U54" s="3"/>
    </row>
    <row r="55" spans="1:21" ht="23.25" x14ac:dyDescent="0.35">
      <c r="A55" s="78"/>
      <c r="B55" s="78"/>
      <c r="C55" s="79">
        <v>2020</v>
      </c>
      <c r="D55" s="79">
        <v>2021</v>
      </c>
      <c r="E55" s="79">
        <v>2022</v>
      </c>
      <c r="F55" s="79">
        <v>2023</v>
      </c>
      <c r="G55" s="79">
        <v>2024</v>
      </c>
      <c r="I55" s="4"/>
      <c r="J55" s="4"/>
      <c r="K55" s="2"/>
      <c r="L55" s="2"/>
      <c r="M55" s="4"/>
      <c r="N55" s="4"/>
      <c r="O55" s="3"/>
      <c r="P55" s="3"/>
      <c r="Q55" s="4"/>
      <c r="R55" s="3"/>
      <c r="S55" s="4"/>
      <c r="T55" s="3"/>
      <c r="U55" s="3"/>
    </row>
    <row r="56" spans="1:21" x14ac:dyDescent="0.25">
      <c r="A56" s="80" t="s">
        <v>44</v>
      </c>
      <c r="B56" s="80"/>
      <c r="C56" s="81">
        <v>10138211</v>
      </c>
      <c r="D56" s="81">
        <v>9912679</v>
      </c>
      <c r="E56" s="81">
        <v>13006818</v>
      </c>
      <c r="F56" s="81">
        <v>19985028</v>
      </c>
      <c r="G56" s="81">
        <v>20624090</v>
      </c>
      <c r="I56" s="4"/>
      <c r="J56" s="4"/>
      <c r="K56" s="2"/>
      <c r="L56" s="2"/>
      <c r="M56" s="4"/>
      <c r="N56" s="4"/>
      <c r="O56" s="3"/>
      <c r="P56" s="3"/>
      <c r="Q56" s="4"/>
      <c r="R56" s="3"/>
      <c r="S56" s="4"/>
      <c r="T56" s="3"/>
      <c r="U56" s="3"/>
    </row>
    <row r="57" spans="1:21" x14ac:dyDescent="0.25">
      <c r="A57" s="80" t="s">
        <v>45</v>
      </c>
      <c r="B57" s="80"/>
      <c r="C57" s="81">
        <v>-9038874</v>
      </c>
      <c r="D57" s="81">
        <v>-8552280</v>
      </c>
      <c r="E57" s="81">
        <v>-10796106</v>
      </c>
      <c r="F57" s="81">
        <v>-16044162</v>
      </c>
      <c r="G57" s="81">
        <v>-18111404</v>
      </c>
      <c r="I57" s="4"/>
      <c r="J57" s="4"/>
      <c r="K57" s="2"/>
      <c r="L57" s="2"/>
      <c r="M57" s="4"/>
      <c r="N57" s="4"/>
      <c r="O57" s="3"/>
      <c r="P57" s="3"/>
      <c r="Q57" s="3"/>
      <c r="R57" s="3"/>
      <c r="S57" s="3"/>
      <c r="T57" s="3"/>
      <c r="U57" s="3"/>
    </row>
    <row r="58" spans="1:21" x14ac:dyDescent="0.25">
      <c r="A58" s="82" t="s">
        <v>46</v>
      </c>
      <c r="B58" s="82"/>
      <c r="C58" s="83">
        <v>1099337</v>
      </c>
      <c r="D58" s="83">
        <v>1360399</v>
      </c>
      <c r="E58" s="83">
        <v>2210712</v>
      </c>
      <c r="F58" s="83">
        <v>3940866</v>
      </c>
      <c r="G58" s="83">
        <v>2512686</v>
      </c>
      <c r="I58" s="3"/>
      <c r="J58" s="3"/>
      <c r="K58" s="2"/>
      <c r="L58" s="2"/>
      <c r="M58" s="4"/>
      <c r="N58" s="4"/>
      <c r="O58" s="3"/>
      <c r="P58" s="3"/>
      <c r="Q58" s="4"/>
      <c r="R58" s="3"/>
      <c r="S58" s="4"/>
      <c r="T58" s="3"/>
      <c r="U58" s="3"/>
    </row>
    <row r="59" spans="1:21" x14ac:dyDescent="0.25">
      <c r="A59" s="80" t="s">
        <v>47</v>
      </c>
      <c r="B59" s="80"/>
      <c r="C59" s="81">
        <v>-231394</v>
      </c>
      <c r="D59" s="81">
        <v>-210750</v>
      </c>
      <c r="E59" s="81">
        <v>-283144</v>
      </c>
      <c r="F59" s="81">
        <v>-424392</v>
      </c>
      <c r="G59" s="81">
        <v>-411969</v>
      </c>
      <c r="I59" s="4"/>
      <c r="J59" s="4"/>
      <c r="K59" s="2"/>
      <c r="L59" s="2"/>
      <c r="M59" s="4"/>
      <c r="N59" s="4"/>
      <c r="O59" s="3"/>
      <c r="P59" s="3"/>
      <c r="Q59" s="4"/>
      <c r="R59" s="3"/>
      <c r="S59" s="4"/>
      <c r="T59" s="3"/>
      <c r="U59" s="3"/>
    </row>
    <row r="60" spans="1:21" x14ac:dyDescent="0.25">
      <c r="A60" s="80" t="s">
        <v>48</v>
      </c>
      <c r="B60" s="80"/>
      <c r="C60" s="81">
        <v>-201393</v>
      </c>
      <c r="D60" s="81">
        <v>-226599</v>
      </c>
      <c r="E60" s="81">
        <v>-255040</v>
      </c>
      <c r="F60" s="81">
        <v>-303889</v>
      </c>
      <c r="G60" s="81">
        <v>-375338</v>
      </c>
      <c r="I60" s="4"/>
      <c r="J60" s="4"/>
      <c r="K60" s="2"/>
      <c r="L60" s="2"/>
      <c r="M60" s="4"/>
      <c r="N60" s="4"/>
      <c r="O60" s="3"/>
      <c r="P60" s="3"/>
      <c r="Q60" s="4"/>
      <c r="R60" s="3"/>
      <c r="S60" s="4"/>
      <c r="T60" s="3"/>
      <c r="U60" s="3"/>
    </row>
    <row r="61" spans="1:21" x14ac:dyDescent="0.25">
      <c r="A61" s="80" t="s">
        <v>49</v>
      </c>
      <c r="B61" s="80"/>
      <c r="C61" s="81">
        <v>-259209</v>
      </c>
      <c r="D61" s="81">
        <v>-86468</v>
      </c>
      <c r="E61" s="81">
        <v>-375186</v>
      </c>
      <c r="F61" s="81">
        <v>-529751</v>
      </c>
      <c r="G61" s="81">
        <v>-182132</v>
      </c>
      <c r="I61" s="4"/>
      <c r="J61" s="4"/>
      <c r="K61" s="2"/>
      <c r="L61" s="2"/>
      <c r="M61" s="4"/>
      <c r="N61" s="4"/>
      <c r="O61" s="3"/>
      <c r="P61" s="3"/>
      <c r="Q61" s="4"/>
      <c r="R61" s="3"/>
      <c r="S61" s="4"/>
      <c r="T61" s="3"/>
      <c r="U61" s="4"/>
    </row>
    <row r="62" spans="1:21" x14ac:dyDescent="0.25">
      <c r="A62" s="80" t="s">
        <v>50</v>
      </c>
      <c r="B62" s="80"/>
      <c r="C62" s="81">
        <v>122951</v>
      </c>
      <c r="D62" s="81">
        <v>268007</v>
      </c>
      <c r="E62" s="81">
        <v>393920</v>
      </c>
      <c r="F62" s="81">
        <v>612041</v>
      </c>
      <c r="G62" s="81">
        <v>1204638</v>
      </c>
      <c r="I62" s="3"/>
      <c r="J62" s="3"/>
      <c r="K62" s="2"/>
      <c r="L62" s="2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80" t="s">
        <v>51</v>
      </c>
      <c r="B63" s="80"/>
      <c r="C63" s="81">
        <v>-569045</v>
      </c>
      <c r="D63" s="81">
        <v>-255810</v>
      </c>
      <c r="E63" s="81">
        <v>-519450</v>
      </c>
      <c r="F63" s="81">
        <v>-645991</v>
      </c>
      <c r="G63" s="81">
        <v>235199</v>
      </c>
      <c r="I63" s="3"/>
      <c r="J63" s="3"/>
      <c r="K63" s="2"/>
      <c r="L63" s="2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82" t="s">
        <v>52</v>
      </c>
      <c r="B64" s="82"/>
      <c r="C64" s="83">
        <v>530292</v>
      </c>
      <c r="D64" s="83">
        <v>1104589</v>
      </c>
      <c r="E64" s="83">
        <v>1691262</v>
      </c>
      <c r="F64" s="83">
        <v>3294875</v>
      </c>
      <c r="G64" s="83">
        <v>2747885</v>
      </c>
      <c r="I64" s="3"/>
      <c r="J64" s="3"/>
      <c r="K64" s="2"/>
      <c r="L64" s="2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80" t="s">
        <v>53</v>
      </c>
      <c r="B65" s="80"/>
      <c r="C65" s="81">
        <v>274003</v>
      </c>
      <c r="D65" s="81">
        <v>95147</v>
      </c>
      <c r="E65" s="81">
        <v>-66501</v>
      </c>
      <c r="F65" s="81">
        <v>-28397</v>
      </c>
      <c r="G65" s="81">
        <v>-32412</v>
      </c>
      <c r="I65" s="4"/>
      <c r="J65" s="4"/>
      <c r="K65" s="2"/>
      <c r="L65" s="2"/>
      <c r="M65" s="4"/>
      <c r="N65" s="4"/>
      <c r="O65" s="3"/>
      <c r="P65" s="3"/>
      <c r="Q65" s="4"/>
      <c r="R65" s="3"/>
      <c r="S65" s="4"/>
      <c r="T65" s="3"/>
      <c r="U65" s="4"/>
    </row>
    <row r="66" spans="1:21" x14ac:dyDescent="0.25">
      <c r="A66" s="82" t="s">
        <v>54</v>
      </c>
      <c r="B66" s="82"/>
      <c r="C66" s="84">
        <v>0</v>
      </c>
      <c r="D66" s="84">
        <v>0</v>
      </c>
      <c r="E66" s="84">
        <v>0</v>
      </c>
      <c r="F66" s="84">
        <v>0</v>
      </c>
      <c r="G66" s="83">
        <v>2715473</v>
      </c>
      <c r="I66" s="4"/>
      <c r="J66" s="4"/>
      <c r="K66" s="2"/>
      <c r="L66" s="2"/>
      <c r="M66" s="4"/>
      <c r="N66" s="4"/>
      <c r="O66" s="3"/>
      <c r="P66" s="3"/>
      <c r="Q66" s="4"/>
      <c r="R66" s="3"/>
      <c r="S66" s="4"/>
      <c r="T66" s="3"/>
      <c r="U66" s="4"/>
    </row>
    <row r="67" spans="1:21" x14ac:dyDescent="0.25">
      <c r="A67" s="80" t="s">
        <v>55</v>
      </c>
      <c r="B67" s="80"/>
      <c r="C67" s="85">
        <v>0</v>
      </c>
      <c r="D67" s="85">
        <v>0</v>
      </c>
      <c r="E67" s="85">
        <v>0</v>
      </c>
      <c r="F67" s="85">
        <v>0</v>
      </c>
      <c r="G67" s="81">
        <v>-237248</v>
      </c>
      <c r="I67" s="4"/>
      <c r="J67" s="4"/>
      <c r="K67" s="2"/>
      <c r="L67" s="2"/>
      <c r="M67" s="4"/>
      <c r="N67" s="4"/>
      <c r="O67" s="3"/>
      <c r="P67" s="3"/>
      <c r="Q67" s="4"/>
      <c r="R67" s="3"/>
      <c r="S67" s="4"/>
      <c r="T67" s="3"/>
      <c r="U67" s="4"/>
    </row>
    <row r="68" spans="1:21" x14ac:dyDescent="0.25">
      <c r="A68" s="82" t="s">
        <v>56</v>
      </c>
      <c r="B68" s="82"/>
      <c r="C68" s="83">
        <v>804295</v>
      </c>
      <c r="D68" s="83">
        <v>1199736</v>
      </c>
      <c r="E68" s="83">
        <v>1624761</v>
      </c>
      <c r="F68" s="83">
        <v>3266478</v>
      </c>
      <c r="G68" s="83">
        <v>2478225</v>
      </c>
      <c r="I68" s="3"/>
      <c r="J68" s="3"/>
      <c r="K68" s="2"/>
      <c r="L68" s="2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80" t="s">
        <v>57</v>
      </c>
      <c r="B69" s="80"/>
      <c r="C69" s="81">
        <v>-110000</v>
      </c>
      <c r="D69" s="81">
        <v>-210000</v>
      </c>
      <c r="E69" s="81">
        <v>-335000</v>
      </c>
      <c r="F69" s="81">
        <v>-725000</v>
      </c>
      <c r="G69" s="81">
        <v>-517752</v>
      </c>
      <c r="I69" s="4"/>
      <c r="J69" s="4"/>
      <c r="K69" s="2"/>
      <c r="L69" s="2"/>
      <c r="M69" s="4"/>
      <c r="N69" s="4"/>
      <c r="O69" s="3"/>
      <c r="P69" s="3"/>
      <c r="Q69" s="4"/>
      <c r="R69" s="3"/>
      <c r="S69" s="4"/>
      <c r="T69" s="3"/>
      <c r="U69" s="4"/>
    </row>
    <row r="70" spans="1:21" x14ac:dyDescent="0.25">
      <c r="A70" s="82" t="s">
        <v>58</v>
      </c>
      <c r="B70" s="82"/>
      <c r="C70" s="83">
        <v>694295</v>
      </c>
      <c r="D70" s="83">
        <v>989736</v>
      </c>
      <c r="E70" s="83">
        <v>1289761</v>
      </c>
      <c r="F70" s="83">
        <v>2541478</v>
      </c>
      <c r="G70" s="83">
        <v>1960473</v>
      </c>
      <c r="I70" s="3"/>
      <c r="J70" s="3"/>
      <c r="K70" s="2"/>
      <c r="L70" s="2"/>
      <c r="M70" s="4"/>
      <c r="N70" s="4"/>
      <c r="O70" s="3"/>
      <c r="P70" s="3"/>
      <c r="Q70" s="4"/>
      <c r="R70" s="3"/>
      <c r="S70" s="4"/>
      <c r="T70" s="3"/>
      <c r="U70" s="3"/>
    </row>
    <row r="71" spans="1:21" ht="30" x14ac:dyDescent="0.25">
      <c r="A71" s="82" t="s">
        <v>59</v>
      </c>
      <c r="B71" s="82"/>
      <c r="C71" s="84">
        <v>4.63</v>
      </c>
      <c r="D71" s="84">
        <v>6.6</v>
      </c>
      <c r="E71" s="84">
        <v>8.6</v>
      </c>
      <c r="F71" s="84">
        <v>16.940000000000001</v>
      </c>
      <c r="G71" s="84">
        <v>14.52</v>
      </c>
      <c r="I71" s="4"/>
      <c r="J71" s="4"/>
      <c r="K71" s="2"/>
      <c r="L71" s="2"/>
      <c r="M71" s="4"/>
      <c r="N71" s="4"/>
      <c r="O71" s="3"/>
      <c r="P71" s="3"/>
      <c r="Q71" s="4"/>
      <c r="R71" s="3"/>
      <c r="S71" s="3"/>
      <c r="T71" s="3"/>
      <c r="U71" s="4"/>
    </row>
    <row r="72" spans="1:21" x14ac:dyDescent="0.25">
      <c r="A72" s="82" t="s">
        <v>60</v>
      </c>
      <c r="B72" s="82"/>
      <c r="C72" s="83">
        <v>694295</v>
      </c>
      <c r="D72" s="83">
        <v>989736</v>
      </c>
      <c r="E72" s="83">
        <v>1289761</v>
      </c>
      <c r="F72" s="83">
        <v>2541478</v>
      </c>
      <c r="G72" s="83">
        <v>1960473</v>
      </c>
      <c r="I72" s="4"/>
      <c r="J72" s="4"/>
      <c r="K72" s="2"/>
      <c r="L72" s="2"/>
      <c r="M72" s="4"/>
      <c r="N72" s="4"/>
      <c r="O72" s="3"/>
      <c r="P72" s="3"/>
      <c r="Q72" s="4"/>
      <c r="R72" s="3"/>
      <c r="S72" s="4"/>
      <c r="T72" s="3"/>
      <c r="U72" s="4"/>
    </row>
    <row r="73" spans="1:21" x14ac:dyDescent="0.25">
      <c r="A73" s="75"/>
      <c r="B73" s="75"/>
      <c r="C73" s="77"/>
      <c r="D73" s="77"/>
      <c r="E73" s="77"/>
      <c r="F73" s="77"/>
      <c r="G73" s="77"/>
      <c r="I73" s="3"/>
      <c r="J73" s="3"/>
      <c r="K73" s="2"/>
      <c r="L73" s="2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75"/>
      <c r="B74" s="75"/>
      <c r="C74" s="77"/>
      <c r="D74" s="77"/>
      <c r="E74" s="77"/>
      <c r="F74" s="77"/>
      <c r="G74" s="77"/>
      <c r="I74" s="4"/>
      <c r="J74" s="4"/>
      <c r="K74" s="2"/>
      <c r="L74" s="2"/>
      <c r="M74" s="4"/>
      <c r="N74" s="4"/>
      <c r="O74" s="3"/>
      <c r="P74" s="3"/>
      <c r="Q74" s="4"/>
      <c r="R74" s="3"/>
      <c r="S74" s="4"/>
      <c r="T74" s="3"/>
      <c r="U74" s="4"/>
    </row>
    <row r="75" spans="1:21" x14ac:dyDescent="0.25">
      <c r="A75" s="59"/>
      <c r="B75" s="59"/>
      <c r="C75" s="61"/>
      <c r="D75" s="61"/>
      <c r="E75" s="61"/>
      <c r="F75" s="61"/>
      <c r="G75" s="61"/>
      <c r="I75" s="3"/>
      <c r="J75" s="3"/>
      <c r="K75" s="2"/>
      <c r="L75" s="2"/>
      <c r="M75" s="3"/>
      <c r="N75" s="3"/>
      <c r="O75" s="3"/>
      <c r="P75" s="3"/>
      <c r="Q75" s="3"/>
      <c r="R75" s="3"/>
      <c r="S75" s="3"/>
      <c r="T75" s="3"/>
      <c r="U75" s="4"/>
    </row>
    <row r="76" spans="1:21" ht="18.75" x14ac:dyDescent="0.3">
      <c r="A76" s="475" t="s">
        <v>81</v>
      </c>
      <c r="B76" s="475"/>
      <c r="C76" s="475"/>
      <c r="D76" s="475"/>
      <c r="E76" s="475"/>
      <c r="F76" s="475"/>
      <c r="G76" s="475"/>
      <c r="I76" s="4"/>
      <c r="J76" s="4"/>
      <c r="K76" s="2"/>
      <c r="L76" s="2"/>
      <c r="M76" s="4"/>
      <c r="N76" s="4"/>
      <c r="O76" s="3"/>
      <c r="P76" s="3"/>
      <c r="Q76" s="4"/>
      <c r="R76" s="3"/>
      <c r="S76" s="4"/>
      <c r="T76" s="3"/>
      <c r="U76" s="3"/>
    </row>
    <row r="77" spans="1:21" x14ac:dyDescent="0.25">
      <c r="A77" s="63"/>
      <c r="B77" s="63"/>
      <c r="C77" s="64">
        <v>2020</v>
      </c>
      <c r="D77" s="64">
        <v>2021</v>
      </c>
      <c r="E77" s="64">
        <v>2022</v>
      </c>
      <c r="F77" s="64">
        <v>2023</v>
      </c>
      <c r="G77" s="64">
        <v>2024</v>
      </c>
      <c r="I77" s="3"/>
      <c r="J77" s="3"/>
      <c r="K77" s="2"/>
      <c r="L77" s="2"/>
      <c r="M77" s="3"/>
      <c r="N77" s="3"/>
      <c r="O77" s="3"/>
      <c r="P77" s="3"/>
      <c r="Q77" s="3"/>
      <c r="R77" s="3"/>
      <c r="S77" s="4"/>
      <c r="T77" s="3"/>
      <c r="U77" s="4"/>
    </row>
    <row r="78" spans="1:21" x14ac:dyDescent="0.25">
      <c r="A78" s="69" t="s">
        <v>82</v>
      </c>
      <c r="B78" s="69"/>
      <c r="C78" s="72">
        <v>2.75</v>
      </c>
      <c r="D78" s="72">
        <v>3</v>
      </c>
      <c r="E78" s="72">
        <v>3.5</v>
      </c>
      <c r="F78" s="72">
        <v>6</v>
      </c>
      <c r="G78" s="72">
        <v>6</v>
      </c>
      <c r="I78" s="4"/>
      <c r="J78" s="4"/>
      <c r="K78" s="2"/>
      <c r="L78" s="2"/>
      <c r="M78" s="4"/>
      <c r="N78" s="4"/>
      <c r="O78" s="3"/>
      <c r="P78" s="3"/>
      <c r="Q78" s="4"/>
      <c r="R78" s="3"/>
      <c r="S78" s="4"/>
      <c r="T78" s="3"/>
      <c r="U78" s="4"/>
    </row>
    <row r="79" spans="1:21" x14ac:dyDescent="0.25">
      <c r="A79" s="69" t="s">
        <v>83</v>
      </c>
      <c r="B79" s="69"/>
      <c r="C79" s="72">
        <v>34.33</v>
      </c>
      <c r="D79" s="72">
        <v>33.520000000000003</v>
      </c>
      <c r="E79" s="72">
        <v>35.200000000000003</v>
      </c>
      <c r="F79" s="72">
        <v>72.89</v>
      </c>
      <c r="G79" s="72">
        <v>72.16</v>
      </c>
      <c r="I79" s="3"/>
      <c r="J79" s="3"/>
      <c r="K79" s="2"/>
      <c r="L79" s="2"/>
      <c r="M79" s="3"/>
      <c r="N79" s="3"/>
      <c r="O79" s="3"/>
      <c r="P79" s="3"/>
      <c r="Q79" s="3"/>
      <c r="R79" s="3"/>
      <c r="S79" s="4"/>
      <c r="T79" s="3"/>
      <c r="U79" s="4"/>
    </row>
    <row r="80" spans="1:21" x14ac:dyDescent="0.25">
      <c r="A80" s="69" t="s">
        <v>84</v>
      </c>
      <c r="B80" s="69"/>
      <c r="C80" s="86">
        <v>0.28999999999999998</v>
      </c>
      <c r="D80" s="86">
        <v>0.28999999999999998</v>
      </c>
      <c r="E80" s="86">
        <v>0.28999999999999998</v>
      </c>
      <c r="F80" s="86">
        <v>0.28999999999999998</v>
      </c>
      <c r="G80" s="86">
        <v>0.28999999999999998</v>
      </c>
      <c r="I80" s="3"/>
      <c r="J80" s="3"/>
      <c r="K80" s="2"/>
      <c r="L80" s="2"/>
      <c r="M80" s="3"/>
      <c r="N80" s="3"/>
      <c r="O80" s="3"/>
      <c r="P80" s="3"/>
      <c r="Q80" s="4"/>
      <c r="R80" s="3"/>
      <c r="S80" s="4"/>
      <c r="T80" s="3"/>
      <c r="U80" s="4"/>
    </row>
    <row r="81" spans="1:22" x14ac:dyDescent="0.25">
      <c r="A81" s="69" t="s">
        <v>88</v>
      </c>
      <c r="B81" s="69"/>
      <c r="C81" s="71">
        <v>240649</v>
      </c>
      <c r="D81" s="71">
        <v>235170</v>
      </c>
      <c r="E81" s="71">
        <v>234945</v>
      </c>
      <c r="F81" s="71">
        <v>217918</v>
      </c>
      <c r="G81" s="71">
        <v>203174</v>
      </c>
      <c r="I81" s="4"/>
      <c r="J81" s="4"/>
      <c r="K81" s="2"/>
      <c r="L81" s="2"/>
      <c r="M81" s="4"/>
      <c r="N81" s="4"/>
      <c r="O81" s="3"/>
      <c r="P81" s="3"/>
      <c r="Q81" s="4"/>
      <c r="R81" s="3"/>
      <c r="S81" s="4"/>
      <c r="T81" s="3"/>
      <c r="U81" s="4"/>
    </row>
    <row r="82" spans="1:22" x14ac:dyDescent="0.25">
      <c r="A82" s="69" t="s">
        <v>86</v>
      </c>
      <c r="B82" s="69"/>
      <c r="C82" s="72">
        <v>57.49</v>
      </c>
      <c r="D82" s="72">
        <v>61.73</v>
      </c>
      <c r="E82" s="72">
        <v>63.47</v>
      </c>
      <c r="F82" s="72">
        <v>75.44</v>
      </c>
      <c r="G82" s="72">
        <v>97.58</v>
      </c>
      <c r="I82" s="4"/>
      <c r="J82" s="4"/>
      <c r="K82" s="2"/>
      <c r="L82" s="2"/>
      <c r="M82" s="4"/>
      <c r="N82" s="4"/>
      <c r="O82" s="3"/>
      <c r="P82" s="3"/>
      <c r="Q82" s="4"/>
      <c r="R82" s="3"/>
      <c r="S82" s="4"/>
      <c r="T82" s="3"/>
      <c r="U82" s="4"/>
    </row>
    <row r="83" spans="1:22" ht="30" x14ac:dyDescent="0.25">
      <c r="A83" s="69" t="s">
        <v>89</v>
      </c>
      <c r="B83" s="69"/>
      <c r="C83" s="71">
        <v>150000000</v>
      </c>
      <c r="D83" s="71">
        <v>150000000</v>
      </c>
      <c r="E83" s="71">
        <v>150000000</v>
      </c>
      <c r="F83" s="71">
        <v>150000000</v>
      </c>
      <c r="G83" s="71">
        <v>135000000</v>
      </c>
      <c r="I83" s="4"/>
      <c r="J83" s="4"/>
      <c r="K83" s="2"/>
      <c r="L83" s="2"/>
      <c r="M83" s="4"/>
      <c r="N83" s="4"/>
      <c r="O83" s="3"/>
      <c r="P83" s="3"/>
      <c r="Q83" s="4"/>
      <c r="R83" s="3"/>
      <c r="S83" s="4"/>
      <c r="T83" s="3"/>
      <c r="U83" s="4"/>
    </row>
    <row r="84" spans="1:22" x14ac:dyDescent="0.25">
      <c r="A84" s="69" t="s">
        <v>87</v>
      </c>
      <c r="B84" s="69"/>
      <c r="C84" s="72">
        <v>4.63</v>
      </c>
      <c r="D84" s="72">
        <v>6.6</v>
      </c>
      <c r="E84" s="72">
        <v>8.6</v>
      </c>
      <c r="F84" s="72">
        <v>16.940000000000001</v>
      </c>
      <c r="G84" s="72">
        <v>14.52</v>
      </c>
      <c r="I84" s="4"/>
      <c r="J84" s="4"/>
      <c r="K84" s="2"/>
      <c r="L84" s="2"/>
      <c r="M84" s="4"/>
      <c r="N84" s="4"/>
      <c r="O84" s="3"/>
      <c r="P84" s="3"/>
      <c r="Q84" s="4"/>
      <c r="R84" s="3"/>
      <c r="S84" s="4"/>
      <c r="T84" s="3"/>
      <c r="U84" s="4"/>
    </row>
    <row r="85" spans="1:22" x14ac:dyDescent="0.25">
      <c r="A85" s="59"/>
      <c r="B85" s="59"/>
      <c r="C85" s="61"/>
      <c r="D85" s="61"/>
      <c r="E85" s="61"/>
      <c r="F85" s="61"/>
      <c r="G85" s="61"/>
    </row>
    <row r="86" spans="1:22" x14ac:dyDescent="0.25">
      <c r="A86" s="59"/>
      <c r="B86" s="59"/>
      <c r="C86" s="61"/>
      <c r="D86" s="61"/>
      <c r="E86" s="61"/>
      <c r="F86" s="61"/>
      <c r="G86" s="61"/>
    </row>
    <row r="88" spans="1:22" x14ac:dyDescent="0.25">
      <c r="A88" s="401" t="s">
        <v>63</v>
      </c>
      <c r="B88" s="401"/>
      <c r="C88" s="401"/>
      <c r="D88" s="401"/>
      <c r="E88" s="401"/>
      <c r="F88" s="401"/>
      <c r="G88" s="401"/>
    </row>
    <row r="89" spans="1:22" x14ac:dyDescent="0.25">
      <c r="A89" s="401"/>
      <c r="B89" s="401"/>
      <c r="C89" s="401">
        <v>2020</v>
      </c>
      <c r="D89" s="401">
        <v>2021</v>
      </c>
      <c r="E89" s="401">
        <v>2022</v>
      </c>
      <c r="F89" s="401">
        <v>2023</v>
      </c>
      <c r="G89" s="401">
        <v>2024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2" x14ac:dyDescent="0.25">
      <c r="A90" s="402" t="s">
        <v>64</v>
      </c>
      <c r="B90" s="402"/>
      <c r="C90" s="402"/>
      <c r="D90" s="402"/>
      <c r="E90" s="402"/>
      <c r="F90" s="402"/>
      <c r="G90" s="402"/>
      <c r="I90" s="4"/>
      <c r="J90" s="4"/>
      <c r="K90" s="2"/>
      <c r="L90" s="2"/>
      <c r="M90" s="4"/>
      <c r="N90" s="4"/>
      <c r="O90" s="2"/>
      <c r="P90" s="2"/>
      <c r="Q90" s="4"/>
      <c r="R90" s="2"/>
      <c r="S90" s="4"/>
      <c r="T90" s="2"/>
      <c r="U90" s="4"/>
      <c r="V90" s="1"/>
    </row>
    <row r="91" spans="1:22" x14ac:dyDescent="0.25">
      <c r="A91" s="197" t="s">
        <v>65</v>
      </c>
      <c r="B91" s="197"/>
      <c r="C91" s="412">
        <v>2.4195246886134667</v>
      </c>
      <c r="D91" s="412">
        <v>2.7118199069705433</v>
      </c>
      <c r="E91" s="412">
        <v>2.3433614616356624</v>
      </c>
      <c r="F91" s="412">
        <v>2.1960639371277204</v>
      </c>
      <c r="G91" s="412">
        <v>2.2108646351309837</v>
      </c>
      <c r="I91" s="4"/>
      <c r="J91" s="4"/>
      <c r="K91" s="2"/>
      <c r="L91" s="2"/>
      <c r="M91" s="4"/>
      <c r="N91" s="4"/>
      <c r="O91" s="2"/>
      <c r="P91" s="2"/>
      <c r="Q91" s="4"/>
      <c r="R91" s="2"/>
      <c r="S91" s="4"/>
      <c r="T91" s="2"/>
      <c r="U91" s="4"/>
      <c r="V91" s="1"/>
    </row>
    <row r="92" spans="1:22" x14ac:dyDescent="0.25">
      <c r="A92" s="197" t="s">
        <v>66</v>
      </c>
      <c r="B92" s="197"/>
      <c r="C92" s="412">
        <v>1.9827393819189894</v>
      </c>
      <c r="D92" s="412">
        <v>1.841269583367183</v>
      </c>
      <c r="E92" s="412">
        <v>0.96678005948298928</v>
      </c>
      <c r="F92" s="412">
        <v>1.4887061786101974</v>
      </c>
      <c r="G92" s="412">
        <v>1.3242732955308583</v>
      </c>
      <c r="I92" s="4"/>
      <c r="J92" s="4"/>
      <c r="K92" s="2"/>
      <c r="L92" s="2"/>
      <c r="M92" s="4"/>
      <c r="N92" s="4"/>
      <c r="O92" s="2"/>
      <c r="P92" s="2"/>
      <c r="Q92" s="4"/>
      <c r="R92" s="2"/>
      <c r="S92" s="4"/>
      <c r="T92" s="2"/>
      <c r="U92" s="4"/>
      <c r="V92" s="1"/>
    </row>
    <row r="93" spans="1:22" x14ac:dyDescent="0.25">
      <c r="A93" s="402" t="s">
        <v>67</v>
      </c>
      <c r="B93" s="402"/>
      <c r="C93" s="403"/>
      <c r="D93" s="403"/>
      <c r="E93" s="403"/>
      <c r="F93" s="403"/>
      <c r="G93" s="403"/>
      <c r="I93" s="4"/>
      <c r="J93" s="4"/>
      <c r="K93" s="2"/>
      <c r="L93" s="2"/>
      <c r="M93" s="4"/>
      <c r="N93" s="4"/>
      <c r="O93" s="2"/>
      <c r="P93" s="2"/>
      <c r="Q93" s="4"/>
      <c r="R93" s="2"/>
      <c r="S93" s="4"/>
      <c r="T93" s="2"/>
      <c r="U93" s="4"/>
      <c r="V93" s="1"/>
    </row>
    <row r="94" spans="1:22" x14ac:dyDescent="0.25">
      <c r="A94" s="197" t="s">
        <v>68</v>
      </c>
      <c r="B94" s="197"/>
      <c r="C94" s="411">
        <v>6.6549753241943641</v>
      </c>
      <c r="D94" s="411">
        <v>6.1736119933934699</v>
      </c>
      <c r="E94" s="411">
        <v>3.1298213734898961</v>
      </c>
      <c r="F94" s="411">
        <v>3.5807162833236585</v>
      </c>
      <c r="G94" s="411">
        <v>3.8753674867750765</v>
      </c>
      <c r="I94" s="4"/>
      <c r="J94" s="4"/>
      <c r="K94" s="2"/>
      <c r="L94" s="2"/>
      <c r="M94" s="4"/>
      <c r="N94" s="4"/>
      <c r="O94" s="2"/>
      <c r="P94" s="2"/>
      <c r="Q94" s="4"/>
      <c r="R94" s="2"/>
      <c r="S94" s="4"/>
      <c r="T94" s="2"/>
      <c r="U94" s="4"/>
      <c r="V94" s="1"/>
    </row>
    <row r="95" spans="1:22" x14ac:dyDescent="0.25">
      <c r="A95" s="197" t="s">
        <v>322</v>
      </c>
      <c r="B95" s="197"/>
      <c r="C95" s="411">
        <v>37.807843341997604</v>
      </c>
      <c r="D95" s="411">
        <v>35.627770649357181</v>
      </c>
      <c r="E95" s="411">
        <v>35.557378662540529</v>
      </c>
      <c r="F95" s="411">
        <v>26.917947181094831</v>
      </c>
      <c r="G95" s="411">
        <v>20.417283337078729</v>
      </c>
      <c r="I95" s="4"/>
      <c r="J95" s="4"/>
      <c r="K95" s="2"/>
      <c r="L95" s="2"/>
      <c r="M95" s="4"/>
      <c r="N95" s="4"/>
      <c r="O95" s="2"/>
      <c r="P95" s="2"/>
      <c r="Q95" s="4"/>
      <c r="R95" s="2"/>
      <c r="S95" s="4"/>
      <c r="T95" s="2"/>
      <c r="U95" s="4"/>
      <c r="V95" s="1"/>
    </row>
    <row r="96" spans="1:22" x14ac:dyDescent="0.25">
      <c r="A96" s="197" t="s">
        <v>323</v>
      </c>
      <c r="B96" s="197"/>
      <c r="C96" s="411">
        <v>4.4834983977184883</v>
      </c>
      <c r="D96" s="411">
        <v>4.4522394260172611</v>
      </c>
      <c r="E96" s="411">
        <v>5.8289351742494899</v>
      </c>
      <c r="F96" s="411">
        <v>6.619788114456318</v>
      </c>
      <c r="G96" s="411">
        <v>5.9875428430689484</v>
      </c>
      <c r="I96" s="4"/>
      <c r="J96" s="4"/>
      <c r="K96" s="2"/>
      <c r="L96" s="2"/>
      <c r="M96" s="4"/>
      <c r="N96" s="4"/>
      <c r="O96" s="2"/>
      <c r="P96" s="2"/>
      <c r="Q96" s="4"/>
      <c r="R96" s="2"/>
      <c r="S96" s="4"/>
      <c r="T96" s="2"/>
      <c r="U96" s="4"/>
      <c r="V96" s="1"/>
    </row>
    <row r="97" spans="1:22" x14ac:dyDescent="0.25">
      <c r="A97" s="197" t="s">
        <v>69</v>
      </c>
      <c r="B97" s="197"/>
      <c r="C97" s="411">
        <v>9.6540814745323402</v>
      </c>
      <c r="D97" s="411">
        <v>10.244817268873531</v>
      </c>
      <c r="E97" s="411">
        <v>10.265098658257539</v>
      </c>
      <c r="F97" s="411">
        <v>13.559726436210147</v>
      </c>
      <c r="G97" s="411">
        <v>17.877011058427303</v>
      </c>
      <c r="I97" s="4"/>
      <c r="J97" s="4"/>
      <c r="K97" s="2"/>
      <c r="L97" s="2"/>
      <c r="M97" s="4"/>
      <c r="N97" s="4"/>
      <c r="O97" s="2"/>
      <c r="P97" s="2"/>
      <c r="Q97" s="4"/>
      <c r="R97" s="2"/>
      <c r="S97" s="4"/>
      <c r="T97" s="2"/>
      <c r="U97" s="4"/>
      <c r="V97" s="1"/>
    </row>
    <row r="98" spans="1:22" x14ac:dyDescent="0.25">
      <c r="A98" s="197" t="s">
        <v>324</v>
      </c>
      <c r="B98" s="197"/>
      <c r="C98" s="411">
        <v>54.846183827764385</v>
      </c>
      <c r="D98" s="411">
        <v>59.122601224468795</v>
      </c>
      <c r="E98" s="411">
        <v>116.62007394147483</v>
      </c>
      <c r="F98" s="411">
        <v>101.9349122129283</v>
      </c>
      <c r="G98" s="411">
        <v>94.184616361050743</v>
      </c>
      <c r="I98" s="4"/>
      <c r="J98" s="4"/>
      <c r="K98" s="2"/>
      <c r="L98" s="2"/>
      <c r="M98" s="4"/>
      <c r="N98" s="4"/>
      <c r="O98" s="2"/>
      <c r="P98" s="2"/>
      <c r="Q98" s="4"/>
      <c r="R98" s="2"/>
      <c r="S98" s="4"/>
      <c r="T98" s="2"/>
      <c r="U98" s="4"/>
      <c r="V98" s="1"/>
    </row>
    <row r="99" spans="1:22" x14ac:dyDescent="0.25">
      <c r="A99" s="197" t="s">
        <v>325</v>
      </c>
      <c r="B99" s="197"/>
      <c r="C99" s="411">
        <v>81.409642119140059</v>
      </c>
      <c r="D99" s="411">
        <v>81.981215535506323</v>
      </c>
      <c r="E99" s="411">
        <v>62.618641156357675</v>
      </c>
      <c r="F99" s="411">
        <v>55.137716447889268</v>
      </c>
      <c r="G99" s="411">
        <v>60.959897835639907</v>
      </c>
      <c r="I99" s="4"/>
      <c r="J99" s="4"/>
      <c r="K99" s="2"/>
      <c r="L99" s="2"/>
      <c r="M99" s="4"/>
      <c r="N99" s="4"/>
      <c r="O99" s="2"/>
      <c r="P99" s="2"/>
      <c r="Q99" s="4"/>
      <c r="R99" s="2"/>
      <c r="S99" s="4"/>
      <c r="T99" s="2"/>
      <c r="U99" s="4"/>
      <c r="V99" s="1"/>
    </row>
    <row r="100" spans="1:22" x14ac:dyDescent="0.25">
      <c r="A100" s="197" t="s">
        <v>326</v>
      </c>
      <c r="B100" s="197"/>
      <c r="C100" s="411">
        <v>-16.909376816843334</v>
      </c>
      <c r="D100" s="411">
        <v>-12.613797042163995</v>
      </c>
      <c r="E100" s="411">
        <v>64.266531443374703</v>
      </c>
      <c r="F100" s="411">
        <v>60.356922201249169</v>
      </c>
      <c r="G100" s="411">
        <v>51.101729583838136</v>
      </c>
      <c r="I100" s="3"/>
      <c r="J100" s="3"/>
      <c r="K100" s="2"/>
      <c r="L100" s="2"/>
      <c r="M100" s="3"/>
      <c r="N100" s="3"/>
      <c r="O100" s="2"/>
      <c r="P100" s="2"/>
      <c r="Q100" s="3"/>
      <c r="R100" s="2"/>
      <c r="S100" s="3"/>
      <c r="T100" s="2"/>
      <c r="U100" s="4"/>
      <c r="V100" s="1"/>
    </row>
    <row r="101" spans="1:22" x14ac:dyDescent="0.25">
      <c r="A101" s="197" t="s">
        <v>70</v>
      </c>
      <c r="B101" s="197"/>
      <c r="C101" s="411">
        <v>0.92776148112967116</v>
      </c>
      <c r="D101" s="411">
        <v>0.86417626244609291</v>
      </c>
      <c r="E101" s="411">
        <v>1.0254276018825497</v>
      </c>
      <c r="F101" s="411">
        <v>1.2793487538225972</v>
      </c>
      <c r="G101" s="411">
        <v>1.0941457542313942</v>
      </c>
      <c r="I101" s="4"/>
      <c r="J101" s="4"/>
      <c r="K101" s="2"/>
      <c r="L101" s="2"/>
      <c r="M101" s="4"/>
      <c r="N101" s="4"/>
      <c r="O101" s="2"/>
      <c r="P101" s="2"/>
      <c r="Q101" s="4"/>
      <c r="R101" s="2"/>
      <c r="S101" s="4"/>
      <c r="T101" s="2"/>
      <c r="U101" s="4"/>
      <c r="V101" s="1"/>
    </row>
    <row r="102" spans="1:22" x14ac:dyDescent="0.25">
      <c r="A102" s="197" t="s">
        <v>71</v>
      </c>
      <c r="B102" s="197"/>
      <c r="C102" s="411">
        <v>4.0758536027918497</v>
      </c>
      <c r="D102" s="411">
        <v>3.9710440502515785</v>
      </c>
      <c r="E102" s="411">
        <v>5.3591081185423119</v>
      </c>
      <c r="F102" s="411">
        <v>8.6107158344961121</v>
      </c>
      <c r="G102" s="411">
        <v>9.4235653445144774</v>
      </c>
      <c r="I102" s="4"/>
      <c r="J102" s="4"/>
      <c r="K102" s="2"/>
      <c r="L102" s="2"/>
      <c r="M102" s="4"/>
      <c r="N102" s="4"/>
      <c r="O102" s="2"/>
      <c r="P102" s="2"/>
      <c r="Q102" s="4"/>
      <c r="R102" s="2"/>
      <c r="S102" s="4"/>
      <c r="T102" s="2"/>
      <c r="U102" s="4"/>
      <c r="V102" s="1"/>
    </row>
    <row r="103" spans="1:22" x14ac:dyDescent="0.25">
      <c r="A103" s="402" t="s">
        <v>72</v>
      </c>
      <c r="B103" s="402"/>
      <c r="C103" s="402"/>
      <c r="D103" s="402"/>
      <c r="E103" s="402"/>
      <c r="F103" s="402"/>
      <c r="G103" s="402"/>
      <c r="I103" s="3"/>
      <c r="J103" s="3"/>
      <c r="K103" s="2"/>
      <c r="L103" s="2"/>
      <c r="M103" s="3"/>
      <c r="N103" s="3"/>
      <c r="O103" s="2"/>
      <c r="P103" s="2"/>
      <c r="Q103" s="3"/>
      <c r="R103" s="2"/>
      <c r="S103" s="3"/>
      <c r="T103" s="2"/>
      <c r="U103" s="3"/>
      <c r="V103" s="1"/>
    </row>
    <row r="104" spans="1:22" x14ac:dyDescent="0.25">
      <c r="A104" s="197" t="s">
        <v>327</v>
      </c>
      <c r="B104" s="197"/>
      <c r="C104" s="408">
        <v>0.22359059642785273</v>
      </c>
      <c r="D104" s="408">
        <v>0.21757570744252852</v>
      </c>
      <c r="E104" s="408">
        <v>0.29655727666640336</v>
      </c>
      <c r="F104" s="408">
        <v>0.36103855094728637</v>
      </c>
      <c r="G104" s="408">
        <v>0.34101323656990756</v>
      </c>
      <c r="I104" s="3"/>
      <c r="J104" s="3"/>
      <c r="K104" s="2"/>
      <c r="L104" s="2"/>
      <c r="M104" s="3"/>
      <c r="N104" s="3"/>
      <c r="O104" s="2"/>
      <c r="P104" s="2"/>
      <c r="Q104" s="3"/>
      <c r="R104" s="2"/>
      <c r="S104" s="3"/>
      <c r="T104" s="2"/>
      <c r="U104" s="3"/>
      <c r="V104" s="1"/>
    </row>
    <row r="105" spans="1:22" x14ac:dyDescent="0.25">
      <c r="A105" s="197" t="s">
        <v>73</v>
      </c>
      <c r="B105" s="197"/>
      <c r="C105" s="408">
        <v>0.22359059642785273</v>
      </c>
      <c r="D105" s="408">
        <v>0.21757570744252852</v>
      </c>
      <c r="E105" s="408">
        <v>0.29655727666640336</v>
      </c>
      <c r="F105" s="408">
        <v>0.36103855094728637</v>
      </c>
      <c r="G105" s="408">
        <v>0.34101323656990756</v>
      </c>
      <c r="I105" s="4"/>
      <c r="J105" s="4"/>
      <c r="K105" s="2"/>
      <c r="L105" s="2"/>
      <c r="M105" s="4"/>
      <c r="N105" s="4"/>
      <c r="O105" s="2"/>
      <c r="P105" s="2"/>
      <c r="Q105" s="4"/>
      <c r="R105" s="2"/>
      <c r="S105" s="4"/>
      <c r="T105" s="2"/>
      <c r="U105" s="4"/>
      <c r="V105" s="1"/>
    </row>
    <row r="106" spans="1:22" x14ac:dyDescent="0.25">
      <c r="A106" s="197" t="s">
        <v>328</v>
      </c>
      <c r="B106" s="197"/>
      <c r="C106" s="409">
        <v>0.2879802787023763</v>
      </c>
      <c r="D106" s="409">
        <v>0.27807892662860656</v>
      </c>
      <c r="E106" s="409">
        <v>0.42157984840759488</v>
      </c>
      <c r="F106" s="409">
        <v>0.56503964594818779</v>
      </c>
      <c r="G106" s="409">
        <v>0.5174811627397482</v>
      </c>
      <c r="I106" s="3"/>
      <c r="J106" s="3"/>
      <c r="K106" s="2"/>
      <c r="L106" s="2"/>
      <c r="M106" s="3"/>
      <c r="N106" s="3"/>
      <c r="O106" s="2"/>
      <c r="P106" s="2"/>
      <c r="Q106" s="3"/>
      <c r="R106" s="2"/>
      <c r="S106" s="4"/>
      <c r="T106" s="2"/>
      <c r="U106" s="3"/>
      <c r="V106" s="1"/>
    </row>
    <row r="107" spans="1:22" x14ac:dyDescent="0.25">
      <c r="A107" s="197" t="s">
        <v>329</v>
      </c>
      <c r="B107" s="197"/>
      <c r="C107" s="408">
        <v>1.7487521615169178E-3</v>
      </c>
      <c r="D107" s="408">
        <v>1.2735811711758831E-3</v>
      </c>
      <c r="E107" s="408">
        <v>1.8030149460118907E-3</v>
      </c>
      <c r="F107" s="408">
        <v>9.8983237901008737E-4</v>
      </c>
      <c r="G107" s="408">
        <v>1.3035068370952122E-3</v>
      </c>
      <c r="I107" s="4"/>
      <c r="J107" s="4"/>
      <c r="K107" s="2"/>
      <c r="L107" s="2"/>
      <c r="M107" s="4"/>
      <c r="N107" s="4"/>
      <c r="O107" s="2"/>
      <c r="P107" s="2"/>
      <c r="Q107" s="4"/>
      <c r="R107" s="2"/>
      <c r="S107" s="4"/>
      <c r="T107" s="2"/>
      <c r="U107" s="4"/>
      <c r="V107" s="1"/>
    </row>
    <row r="108" spans="1:22" x14ac:dyDescent="0.25">
      <c r="A108" s="197" t="s">
        <v>74</v>
      </c>
      <c r="B108" s="197"/>
      <c r="C108" s="410" t="s">
        <v>90</v>
      </c>
      <c r="D108" s="410" t="s">
        <v>90</v>
      </c>
      <c r="E108" s="409">
        <v>25.432128840167817</v>
      </c>
      <c r="F108" s="409">
        <v>116.02898193471141</v>
      </c>
      <c r="G108" s="409">
        <v>84.779865481920282</v>
      </c>
      <c r="I108" s="4"/>
      <c r="J108" s="4"/>
      <c r="K108" s="2"/>
      <c r="L108" s="2"/>
      <c r="M108" s="4"/>
      <c r="N108" s="4"/>
      <c r="O108" s="2"/>
      <c r="P108" s="2"/>
      <c r="Q108" s="4"/>
      <c r="R108" s="2"/>
      <c r="S108" s="4"/>
      <c r="T108" s="2"/>
      <c r="U108" s="4"/>
      <c r="V108" s="1"/>
    </row>
    <row r="109" spans="1:22" x14ac:dyDescent="0.25">
      <c r="A109" s="402" t="s">
        <v>75</v>
      </c>
      <c r="B109" s="402"/>
      <c r="C109" s="402"/>
      <c r="D109" s="402"/>
      <c r="E109" s="402"/>
      <c r="F109" s="402"/>
      <c r="G109" s="402"/>
      <c r="I109" s="4"/>
      <c r="J109" s="4"/>
      <c r="K109" s="2"/>
      <c r="L109" s="2"/>
      <c r="M109" s="4"/>
      <c r="N109" s="4"/>
      <c r="O109" s="2"/>
      <c r="P109" s="2"/>
      <c r="Q109" s="4"/>
      <c r="R109" s="2"/>
      <c r="S109" s="4"/>
      <c r="T109" s="2"/>
      <c r="U109" s="4"/>
      <c r="V109" s="1"/>
    </row>
    <row r="110" spans="1:22" x14ac:dyDescent="0.25">
      <c r="A110" s="197" t="s">
        <v>302</v>
      </c>
      <c r="B110" s="197"/>
      <c r="C110" s="406">
        <v>0.10843500889851276</v>
      </c>
      <c r="D110" s="406">
        <v>0.13723827837055957</v>
      </c>
      <c r="E110" s="406">
        <v>0.16996562879560551</v>
      </c>
      <c r="F110" s="406">
        <v>0.19719091712055645</v>
      </c>
      <c r="G110" s="406">
        <v>0.12183257540090253</v>
      </c>
      <c r="I110" s="4"/>
      <c r="J110" s="4"/>
      <c r="K110" s="2"/>
      <c r="L110" s="2"/>
      <c r="M110" s="4"/>
      <c r="N110" s="4"/>
      <c r="O110" s="2"/>
      <c r="P110" s="2"/>
      <c r="Q110" s="4"/>
      <c r="R110" s="2"/>
      <c r="S110" s="4"/>
      <c r="T110" s="2"/>
      <c r="U110" s="4"/>
      <c r="V110" s="1"/>
    </row>
    <row r="111" spans="1:22" x14ac:dyDescent="0.25">
      <c r="A111" s="197" t="s">
        <v>303</v>
      </c>
      <c r="B111" s="197"/>
      <c r="C111" s="406">
        <v>5.2306269814269994E-2</v>
      </c>
      <c r="D111" s="406">
        <v>0.1114319347978483</v>
      </c>
      <c r="E111" s="406">
        <v>0.13002888177569641</v>
      </c>
      <c r="F111" s="406">
        <v>0.16486716956313496</v>
      </c>
      <c r="G111" s="406">
        <v>0.13323666644201029</v>
      </c>
    </row>
    <row r="112" spans="1:22" x14ac:dyDescent="0.25">
      <c r="A112" s="72" t="s">
        <v>300</v>
      </c>
      <c r="B112" s="174"/>
      <c r="C112" s="407">
        <v>4.3400000000000001E-2</v>
      </c>
      <c r="D112" s="407">
        <v>8.3099999999999993E-2</v>
      </c>
      <c r="E112" s="407">
        <v>0.12379999999999999</v>
      </c>
      <c r="F112" s="407">
        <v>0.20219999999999999</v>
      </c>
      <c r="G112" s="407">
        <v>0.1444</v>
      </c>
    </row>
    <row r="113" spans="1:21" x14ac:dyDescent="0.25">
      <c r="A113" s="72" t="s">
        <v>306</v>
      </c>
      <c r="B113" s="174"/>
      <c r="C113" s="407">
        <v>8.0500000000000002E-2</v>
      </c>
      <c r="D113" s="407">
        <v>0.1069</v>
      </c>
      <c r="E113" s="407">
        <v>0.13550000000000001</v>
      </c>
      <c r="F113" s="407">
        <v>0.22459999999999999</v>
      </c>
      <c r="G113" s="407">
        <v>0.14879999999999999</v>
      </c>
    </row>
    <row r="114" spans="1:21" x14ac:dyDescent="0.25">
      <c r="A114" s="72" t="s">
        <v>301</v>
      </c>
      <c r="B114" s="174"/>
      <c r="C114" s="407">
        <v>4.7800000000000002E-2</v>
      </c>
      <c r="D114" s="407">
        <v>9.3299999999999994E-2</v>
      </c>
      <c r="E114" s="407">
        <v>0.125</v>
      </c>
      <c r="F114" s="407">
        <v>0.18609999999999999</v>
      </c>
      <c r="G114" s="407">
        <v>0.13750000000000001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25">
      <c r="A115" s="72" t="s">
        <v>76</v>
      </c>
      <c r="B115" s="197"/>
      <c r="C115" s="406">
        <v>6.3535880002983269E-2</v>
      </c>
      <c r="D115" s="406">
        <v>8.6284076916880517E-2</v>
      </c>
      <c r="E115" s="406">
        <v>0.10168178944547691</v>
      </c>
      <c r="F115" s="406">
        <v>0.16269362805834181</v>
      </c>
      <c r="G115" s="406">
        <v>0.10400668389418802</v>
      </c>
      <c r="J115" s="4"/>
      <c r="K115" s="3"/>
      <c r="L115" s="3"/>
      <c r="M115" s="4"/>
      <c r="N115" s="4"/>
      <c r="O115" s="3"/>
      <c r="P115" s="3"/>
      <c r="Q115" s="4"/>
      <c r="R115" s="3"/>
      <c r="S115" s="4"/>
      <c r="T115" s="3"/>
      <c r="U115" s="4"/>
    </row>
    <row r="116" spans="1:21" x14ac:dyDescent="0.25">
      <c r="A116" s="197" t="s">
        <v>330</v>
      </c>
      <c r="B116" s="197"/>
      <c r="C116" s="406">
        <v>8.3155799074835668E-2</v>
      </c>
      <c r="D116" s="406">
        <v>0.11068980603762578</v>
      </c>
      <c r="E116" s="406">
        <v>0.13735403695486967</v>
      </c>
      <c r="F116" s="406">
        <v>0.2439575937269863</v>
      </c>
      <c r="G116" s="406">
        <v>0.16011376768687344</v>
      </c>
      <c r="I116" s="4"/>
      <c r="J116" s="4"/>
      <c r="K116" s="3"/>
      <c r="L116" s="3"/>
      <c r="M116" s="4"/>
      <c r="N116" s="4"/>
      <c r="O116" s="3"/>
      <c r="P116" s="3"/>
      <c r="Q116" s="4"/>
      <c r="R116" s="3"/>
      <c r="S116" s="4"/>
      <c r="T116" s="3"/>
      <c r="U116" s="4"/>
    </row>
    <row r="117" spans="1:21" x14ac:dyDescent="0.25">
      <c r="A117" s="402" t="s">
        <v>77</v>
      </c>
      <c r="B117" s="402"/>
      <c r="C117" s="402"/>
      <c r="D117" s="402"/>
      <c r="E117" s="402"/>
      <c r="F117" s="402"/>
      <c r="G117" s="402"/>
      <c r="I117" s="4"/>
      <c r="J117" s="4"/>
      <c r="K117" s="3"/>
      <c r="L117" s="3"/>
      <c r="M117" s="4"/>
      <c r="N117" s="4"/>
      <c r="O117" s="3"/>
      <c r="P117" s="3"/>
      <c r="Q117" s="4"/>
      <c r="R117" s="3"/>
      <c r="S117" s="4"/>
      <c r="T117" s="3"/>
      <c r="U117" s="4"/>
    </row>
    <row r="118" spans="1:21" x14ac:dyDescent="0.25">
      <c r="A118" s="197" t="s">
        <v>78</v>
      </c>
      <c r="B118" s="197"/>
      <c r="C118" s="404">
        <v>7.4146868250539955</v>
      </c>
      <c r="D118" s="404">
        <v>5.07878787878788</v>
      </c>
      <c r="E118" s="404">
        <v>4.0930232558139537</v>
      </c>
      <c r="F118" s="404">
        <v>4.3028335301062572</v>
      </c>
      <c r="G118" s="404">
        <v>4.9696969696969697</v>
      </c>
      <c r="I118" s="4"/>
      <c r="J118" s="4"/>
      <c r="K118" s="3"/>
      <c r="L118" s="3"/>
      <c r="M118" s="4"/>
      <c r="N118" s="4"/>
      <c r="O118" s="3"/>
      <c r="P118" s="3"/>
      <c r="Q118" s="4"/>
      <c r="R118" s="3"/>
      <c r="S118" s="4"/>
      <c r="T118" s="3"/>
      <c r="U118" s="4"/>
    </row>
    <row r="119" spans="1:21" x14ac:dyDescent="0.25">
      <c r="A119" s="197" t="s">
        <v>79</v>
      </c>
      <c r="B119" s="197"/>
      <c r="C119" s="404">
        <v>0.59714732997042963</v>
      </c>
      <c r="D119" s="404">
        <v>0.54300988174307474</v>
      </c>
      <c r="E119" s="404">
        <v>0.55459272097053736</v>
      </c>
      <c r="F119" s="404">
        <v>0.96619830328738077</v>
      </c>
      <c r="G119" s="404">
        <v>0.73949579831932766</v>
      </c>
      <c r="I119" s="4"/>
      <c r="J119" s="4"/>
      <c r="K119" s="3"/>
      <c r="L119" s="3"/>
      <c r="M119" s="4"/>
      <c r="N119" s="4"/>
      <c r="O119" s="3"/>
      <c r="P119" s="3"/>
      <c r="Q119" s="4"/>
      <c r="R119" s="3"/>
      <c r="S119" s="4"/>
      <c r="T119" s="3"/>
      <c r="U119" s="4"/>
    </row>
    <row r="120" spans="1:21" x14ac:dyDescent="0.25">
      <c r="A120" s="197" t="s">
        <v>331</v>
      </c>
      <c r="B120" s="197"/>
      <c r="C120" s="405">
        <v>8.0104864549956314E-2</v>
      </c>
      <c r="D120" s="405">
        <v>8.9498806682577564E-2</v>
      </c>
      <c r="E120" s="405">
        <v>9.9431818181818177E-2</v>
      </c>
      <c r="F120" s="405">
        <v>8.2315818356427498E-2</v>
      </c>
      <c r="G120" s="405">
        <v>8.3148558758314867E-2</v>
      </c>
      <c r="I120" s="4"/>
      <c r="J120" s="4"/>
      <c r="K120" s="3"/>
      <c r="L120" s="3"/>
      <c r="M120" s="4"/>
      <c r="N120" s="4"/>
      <c r="O120" s="3"/>
      <c r="P120" s="3"/>
      <c r="Q120" s="4"/>
      <c r="R120" s="3"/>
      <c r="S120" s="4"/>
      <c r="T120" s="3"/>
      <c r="U120" s="4"/>
    </row>
    <row r="121" spans="1:21" x14ac:dyDescent="0.25">
      <c r="A121" s="197" t="s">
        <v>332</v>
      </c>
      <c r="B121" s="197"/>
      <c r="C121" s="405">
        <v>0.59395248380129595</v>
      </c>
      <c r="D121" s="405">
        <v>0.45454545454545459</v>
      </c>
      <c r="E121" s="405">
        <v>0.40697674418604651</v>
      </c>
      <c r="F121" s="405">
        <v>0.35419126328217232</v>
      </c>
      <c r="G121" s="405">
        <v>0.41322314049586778</v>
      </c>
      <c r="I121" s="4"/>
      <c r="J121" s="4"/>
      <c r="K121" s="3"/>
      <c r="L121" s="3"/>
      <c r="M121" s="4"/>
      <c r="N121" s="4"/>
      <c r="O121" s="3"/>
      <c r="P121" s="3"/>
      <c r="Q121" s="4"/>
      <c r="R121" s="3"/>
      <c r="S121" s="4"/>
      <c r="T121" s="3"/>
      <c r="U121" s="4"/>
    </row>
    <row r="122" spans="1:21" x14ac:dyDescent="0.25">
      <c r="A122" s="197" t="s">
        <v>333</v>
      </c>
      <c r="B122" s="197"/>
      <c r="C122" s="404">
        <v>1.6836363636363636</v>
      </c>
      <c r="D122" s="404">
        <v>2.1999999999999997</v>
      </c>
      <c r="E122" s="404">
        <v>2.4571428571428569</v>
      </c>
      <c r="F122" s="404">
        <v>2.8233333333333337</v>
      </c>
      <c r="G122" s="404">
        <v>2.42</v>
      </c>
      <c r="I122" s="4"/>
      <c r="J122" s="4"/>
      <c r="K122" s="3"/>
      <c r="L122" s="3"/>
      <c r="M122" s="4"/>
      <c r="N122" s="4"/>
      <c r="O122" s="3"/>
      <c r="P122" s="3"/>
      <c r="Q122" s="4"/>
      <c r="R122" s="3"/>
      <c r="S122" s="4"/>
      <c r="T122" s="3"/>
      <c r="U122" s="4"/>
    </row>
    <row r="123" spans="1:21" x14ac:dyDescent="0.25">
      <c r="A123" s="69" t="s">
        <v>195</v>
      </c>
      <c r="B123" s="69"/>
      <c r="C123" s="318">
        <v>1.42</v>
      </c>
      <c r="D123" s="318">
        <v>0.92</v>
      </c>
      <c r="E123" s="318">
        <v>1.06</v>
      </c>
      <c r="F123" s="318">
        <v>1.26</v>
      </c>
      <c r="G123" s="318">
        <v>1.28</v>
      </c>
      <c r="I123" s="4"/>
      <c r="J123" s="4"/>
      <c r="K123" s="3"/>
      <c r="L123" s="3"/>
      <c r="M123" s="4"/>
      <c r="N123" s="4"/>
      <c r="O123" s="3"/>
      <c r="P123" s="3"/>
      <c r="Q123" s="4"/>
      <c r="R123" s="3"/>
      <c r="S123" s="4"/>
      <c r="T123" s="3"/>
      <c r="U123" s="4"/>
    </row>
    <row r="124" spans="1:21" x14ac:dyDescent="0.25">
      <c r="I124" s="4"/>
      <c r="J124" s="4"/>
      <c r="K124" s="3"/>
      <c r="L124" s="3"/>
      <c r="M124" s="4"/>
      <c r="N124" s="4"/>
      <c r="O124" s="3"/>
      <c r="P124" s="3"/>
      <c r="Q124" s="4"/>
      <c r="R124" s="3"/>
      <c r="S124" s="4"/>
      <c r="T124" s="3"/>
      <c r="U124" s="4"/>
    </row>
    <row r="125" spans="1:21" x14ac:dyDescent="0.25"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</row>
    <row r="126" spans="1:21" x14ac:dyDescent="0.25"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</row>
    <row r="127" spans="1:21" x14ac:dyDescent="0.25">
      <c r="I127" s="4"/>
      <c r="J127" s="4"/>
      <c r="K127" s="3"/>
      <c r="L127" s="3"/>
      <c r="M127" s="4"/>
      <c r="N127" s="4"/>
      <c r="O127" s="3"/>
      <c r="P127" s="3"/>
      <c r="Q127" s="4"/>
      <c r="R127" s="3"/>
      <c r="S127" s="4"/>
      <c r="T127" s="3"/>
      <c r="U127" s="4"/>
    </row>
    <row r="128" spans="1:21" x14ac:dyDescent="0.25">
      <c r="I128" s="4"/>
      <c r="J128" s="4"/>
      <c r="K128" s="3"/>
      <c r="L128" s="3"/>
      <c r="M128" s="4"/>
      <c r="N128" s="4"/>
      <c r="O128" s="3"/>
      <c r="P128" s="3"/>
      <c r="Q128" s="4"/>
      <c r="R128" s="3"/>
      <c r="S128" s="4"/>
      <c r="T128" s="3"/>
      <c r="U128" s="4"/>
    </row>
    <row r="129" spans="9:21" x14ac:dyDescent="0.25">
      <c r="I129" s="4"/>
      <c r="J129" s="4"/>
      <c r="K129" s="3"/>
      <c r="L129" s="3"/>
      <c r="M129" s="4"/>
      <c r="N129" s="4"/>
      <c r="O129" s="3"/>
      <c r="P129" s="3"/>
      <c r="Q129" s="4"/>
      <c r="R129" s="3"/>
      <c r="S129" s="4"/>
      <c r="T129" s="3"/>
      <c r="U129" s="4"/>
    </row>
    <row r="130" spans="9:21" x14ac:dyDescent="0.25"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9:21" x14ac:dyDescent="0.25">
      <c r="I131" s="4"/>
      <c r="J131" s="4"/>
      <c r="K131" s="3"/>
      <c r="L131" s="3"/>
      <c r="M131" s="4"/>
      <c r="N131" s="4"/>
      <c r="O131" s="3"/>
      <c r="P131" s="3"/>
      <c r="Q131" s="4"/>
      <c r="R131" s="3"/>
      <c r="S131" s="4"/>
      <c r="T131" s="3"/>
      <c r="U131" s="4"/>
    </row>
    <row r="132" spans="9:21" x14ac:dyDescent="0.25"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9:21" x14ac:dyDescent="0.25"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9:21" x14ac:dyDescent="0.25">
      <c r="I134" s="3"/>
      <c r="J134" s="3"/>
      <c r="K134" s="3"/>
      <c r="L134" s="3"/>
      <c r="M134" s="3"/>
      <c r="N134" s="3"/>
      <c r="O134" s="3"/>
      <c r="P134" s="3"/>
      <c r="Q134" s="4"/>
      <c r="R134" s="3"/>
      <c r="S134" s="4"/>
      <c r="T134" s="3"/>
      <c r="U134" s="4"/>
    </row>
    <row r="135" spans="9:21" x14ac:dyDescent="0.25">
      <c r="I135" s="4"/>
      <c r="J135" s="4"/>
      <c r="K135" s="3"/>
      <c r="L135" s="3"/>
      <c r="M135" s="4"/>
      <c r="N135" s="4"/>
      <c r="O135" s="3"/>
      <c r="P135" s="3"/>
      <c r="Q135" s="4"/>
      <c r="R135" s="3"/>
      <c r="S135" s="4"/>
      <c r="T135" s="3"/>
      <c r="U135" s="4"/>
    </row>
    <row r="136" spans="9:21" x14ac:dyDescent="0.25"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4"/>
      <c r="T136" s="3"/>
      <c r="U136" s="3"/>
    </row>
    <row r="137" spans="9:21" x14ac:dyDescent="0.25">
      <c r="I137" s="4"/>
      <c r="J137" s="4"/>
      <c r="K137" s="3"/>
      <c r="L137" s="3"/>
      <c r="M137" s="4"/>
      <c r="N137" s="4"/>
      <c r="O137" s="3"/>
      <c r="P137" s="3"/>
      <c r="Q137" s="4"/>
      <c r="R137" s="3"/>
      <c r="S137" s="4"/>
      <c r="T137" s="3"/>
      <c r="U137" s="4"/>
    </row>
    <row r="138" spans="9:21" x14ac:dyDescent="0.25">
      <c r="I138" s="4"/>
      <c r="J138" s="4"/>
      <c r="K138" s="3"/>
      <c r="L138" s="3"/>
      <c r="M138" s="4"/>
      <c r="N138" s="4"/>
      <c r="O138" s="3"/>
      <c r="P138" s="3"/>
      <c r="Q138" s="4"/>
      <c r="R138" s="3"/>
      <c r="S138" s="4"/>
      <c r="T138" s="3"/>
      <c r="U138" s="4"/>
    </row>
    <row r="139" spans="9:21" x14ac:dyDescent="0.25">
      <c r="I139" s="4"/>
      <c r="J139" s="4"/>
      <c r="K139" s="3"/>
      <c r="L139" s="3"/>
      <c r="M139" s="4"/>
      <c r="N139" s="4"/>
      <c r="O139" s="3"/>
      <c r="P139" s="3"/>
      <c r="Q139" s="4"/>
      <c r="R139" s="3"/>
      <c r="S139" s="4"/>
      <c r="T139" s="3"/>
      <c r="U139" s="4"/>
    </row>
    <row r="180" spans="11:12" x14ac:dyDescent="0.25">
      <c r="K180" s="6"/>
      <c r="L180" s="6"/>
    </row>
    <row r="228" ht="45" customHeight="1" x14ac:dyDescent="0.25"/>
    <row r="229" ht="25.5" customHeight="1" x14ac:dyDescent="0.25"/>
  </sheetData>
  <mergeCells count="6">
    <mergeCell ref="A54:G54"/>
    <mergeCell ref="A76:G76"/>
    <mergeCell ref="A3:G3"/>
    <mergeCell ref="A4:G4"/>
    <mergeCell ref="A5:G5"/>
    <mergeCell ref="A53:G5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7D5D-9097-48B3-80AB-A486789D89C9}">
  <dimension ref="A1:G142"/>
  <sheetViews>
    <sheetView topLeftCell="A117" zoomScale="75" workbookViewId="0">
      <selection activeCell="E135" sqref="E135"/>
    </sheetView>
  </sheetViews>
  <sheetFormatPr defaultRowHeight="15" x14ac:dyDescent="0.25"/>
  <cols>
    <col min="1" max="1" width="49.28515625" bestFit="1" customWidth="1"/>
    <col min="2" max="2" width="14" customWidth="1"/>
    <col min="3" max="3" width="16" customWidth="1"/>
    <col min="4" max="4" width="16.7109375" customWidth="1"/>
    <col min="5" max="5" width="15" customWidth="1"/>
    <col min="6" max="6" width="17" customWidth="1"/>
    <col min="7" max="7" width="17.42578125" customWidth="1"/>
  </cols>
  <sheetData>
    <row r="1" spans="1:7" x14ac:dyDescent="0.25">
      <c r="A1" s="5"/>
      <c r="B1" s="5"/>
      <c r="C1" s="7"/>
      <c r="D1" s="7"/>
      <c r="E1" s="7"/>
      <c r="F1" s="7"/>
      <c r="G1" s="7"/>
    </row>
    <row r="2" spans="1:7" ht="22.5" x14ac:dyDescent="0.3">
      <c r="A2" s="479" t="s">
        <v>123</v>
      </c>
      <c r="B2" s="479"/>
      <c r="C2" s="479"/>
      <c r="D2" s="479"/>
      <c r="E2" s="479"/>
      <c r="F2" s="479"/>
      <c r="G2" s="479"/>
    </row>
    <row r="3" spans="1:7" ht="22.5" x14ac:dyDescent="0.3">
      <c r="A3" s="479" t="s">
        <v>1</v>
      </c>
      <c r="B3" s="479"/>
      <c r="C3" s="479"/>
      <c r="D3" s="479"/>
      <c r="E3" s="479"/>
      <c r="F3" s="479"/>
      <c r="G3" s="479"/>
    </row>
    <row r="4" spans="1:7" ht="22.5" x14ac:dyDescent="0.3">
      <c r="A4" s="479" t="s">
        <v>43</v>
      </c>
      <c r="B4" s="479"/>
      <c r="C4" s="479"/>
      <c r="D4" s="479"/>
      <c r="E4" s="479"/>
      <c r="F4" s="479"/>
      <c r="G4" s="479"/>
    </row>
    <row r="5" spans="1:7" x14ac:dyDescent="0.25">
      <c r="A5" s="183"/>
      <c r="B5" s="171"/>
      <c r="C5" s="172">
        <v>2020</v>
      </c>
      <c r="D5" s="172">
        <v>2021</v>
      </c>
      <c r="E5" s="172">
        <v>2022</v>
      </c>
      <c r="F5" s="172">
        <v>2023</v>
      </c>
      <c r="G5" s="172">
        <v>2024</v>
      </c>
    </row>
    <row r="6" spans="1:7" x14ac:dyDescent="0.25">
      <c r="A6" s="184" t="s">
        <v>2</v>
      </c>
      <c r="B6" s="184"/>
      <c r="C6" s="185"/>
      <c r="D6" s="185"/>
      <c r="E6" s="185"/>
      <c r="F6" s="185"/>
      <c r="G6" s="185"/>
    </row>
    <row r="7" spans="1:7" x14ac:dyDescent="0.25">
      <c r="A7" s="146" t="s">
        <v>3</v>
      </c>
      <c r="B7" s="146"/>
      <c r="C7" s="186"/>
      <c r="D7" s="186"/>
      <c r="E7" s="186"/>
      <c r="F7" s="186"/>
      <c r="G7" s="186"/>
    </row>
    <row r="8" spans="1:7" x14ac:dyDescent="0.25">
      <c r="A8" s="9" t="s">
        <v>4</v>
      </c>
      <c r="B8" s="187"/>
      <c r="C8" s="10">
        <v>2224779619</v>
      </c>
      <c r="D8" s="10">
        <v>2372810929</v>
      </c>
      <c r="E8" s="10">
        <v>2447675227</v>
      </c>
      <c r="F8" s="10">
        <v>2397952211</v>
      </c>
      <c r="G8" s="10">
        <v>2356445597</v>
      </c>
    </row>
    <row r="9" spans="1:7" x14ac:dyDescent="0.25">
      <c r="A9" s="174" t="s">
        <v>5</v>
      </c>
      <c r="B9" s="174"/>
      <c r="C9" s="10">
        <v>80522018</v>
      </c>
      <c r="D9" s="10">
        <v>51579492</v>
      </c>
      <c r="E9" s="10">
        <v>49943215</v>
      </c>
      <c r="F9" s="10">
        <v>65718360</v>
      </c>
      <c r="G9" s="10">
        <v>129536144</v>
      </c>
    </row>
    <row r="10" spans="1:7" x14ac:dyDescent="0.25">
      <c r="A10" s="197" t="s">
        <v>91</v>
      </c>
      <c r="B10" s="197"/>
      <c r="C10" s="197">
        <v>0</v>
      </c>
      <c r="D10" s="199">
        <v>204660877</v>
      </c>
      <c r="E10" s="199">
        <v>160173441</v>
      </c>
      <c r="F10" s="197">
        <v>0</v>
      </c>
      <c r="G10" s="197">
        <v>0</v>
      </c>
    </row>
    <row r="11" spans="1:7" x14ac:dyDescent="0.25">
      <c r="A11" s="9" t="s">
        <v>6</v>
      </c>
      <c r="B11" s="187"/>
      <c r="C11" s="10">
        <v>1193248556</v>
      </c>
      <c r="D11" s="10">
        <v>1051768517</v>
      </c>
      <c r="E11" s="10">
        <v>1166906145</v>
      </c>
      <c r="F11" s="10">
        <v>1803697500</v>
      </c>
      <c r="G11" s="10">
        <v>1126416293</v>
      </c>
    </row>
    <row r="12" spans="1:7" x14ac:dyDescent="0.25">
      <c r="A12" s="9" t="s">
        <v>8</v>
      </c>
      <c r="B12" s="187"/>
      <c r="C12" s="10">
        <v>852400</v>
      </c>
      <c r="D12" s="10">
        <v>852400</v>
      </c>
      <c r="E12" s="10">
        <v>3436400</v>
      </c>
      <c r="F12" s="10">
        <v>3436400</v>
      </c>
      <c r="G12" s="10">
        <v>3436400</v>
      </c>
    </row>
    <row r="13" spans="1:7" x14ac:dyDescent="0.25">
      <c r="A13" s="9" t="s">
        <v>9</v>
      </c>
      <c r="B13" s="187"/>
      <c r="C13" s="10">
        <v>3499402593</v>
      </c>
      <c r="D13" s="10">
        <v>3681672215</v>
      </c>
      <c r="E13" s="10">
        <v>3828134428</v>
      </c>
      <c r="F13" s="10">
        <v>4270804471</v>
      </c>
      <c r="G13" s="10">
        <v>3615834434</v>
      </c>
    </row>
    <row r="14" spans="1:7" x14ac:dyDescent="0.25">
      <c r="A14" s="146" t="s">
        <v>10</v>
      </c>
      <c r="B14" s="146"/>
      <c r="C14" s="186"/>
      <c r="D14" s="186"/>
      <c r="E14" s="186"/>
      <c r="F14" s="186"/>
      <c r="G14" s="186"/>
    </row>
    <row r="15" spans="1:7" x14ac:dyDescent="0.25">
      <c r="A15" s="192" t="s">
        <v>124</v>
      </c>
      <c r="B15" s="140"/>
      <c r="C15" s="140">
        <v>16621474</v>
      </c>
      <c r="D15" s="140">
        <v>23767355</v>
      </c>
      <c r="E15" s="140">
        <v>24556050</v>
      </c>
      <c r="F15" s="140">
        <v>12848750</v>
      </c>
      <c r="G15" s="140">
        <v>17414250</v>
      </c>
    </row>
    <row r="16" spans="1:7" x14ac:dyDescent="0.25">
      <c r="A16" s="9" t="s">
        <v>11</v>
      </c>
      <c r="B16" s="187"/>
      <c r="C16" s="10">
        <v>110342728</v>
      </c>
      <c r="D16" s="10">
        <v>110502305</v>
      </c>
      <c r="E16" s="10">
        <v>144306826</v>
      </c>
      <c r="F16" s="10">
        <v>151581936</v>
      </c>
      <c r="G16" s="10">
        <v>179009795</v>
      </c>
    </row>
    <row r="17" spans="1:7" x14ac:dyDescent="0.25">
      <c r="A17" s="9" t="s">
        <v>12</v>
      </c>
      <c r="B17" s="187"/>
      <c r="C17" s="10">
        <v>60781473</v>
      </c>
      <c r="D17" s="10">
        <v>561564239</v>
      </c>
      <c r="E17" s="10">
        <v>1553309866</v>
      </c>
      <c r="F17" s="10">
        <v>592614705</v>
      </c>
      <c r="G17" s="10">
        <v>2599018609</v>
      </c>
    </row>
    <row r="18" spans="1:7" x14ac:dyDescent="0.25">
      <c r="A18" s="9" t="s">
        <v>13</v>
      </c>
      <c r="B18" s="187"/>
      <c r="C18" s="10">
        <v>18205601</v>
      </c>
      <c r="D18" s="10">
        <v>69668130</v>
      </c>
      <c r="E18" s="10">
        <v>100420895</v>
      </c>
      <c r="F18" s="10">
        <v>288597782</v>
      </c>
      <c r="G18" s="10">
        <v>479404658</v>
      </c>
    </row>
    <row r="19" spans="1:7" x14ac:dyDescent="0.25">
      <c r="A19" s="9" t="s">
        <v>14</v>
      </c>
      <c r="B19" s="187"/>
      <c r="C19" s="10">
        <v>46274164</v>
      </c>
      <c r="D19" s="10">
        <v>54975038</v>
      </c>
      <c r="E19" s="10">
        <v>63262744</v>
      </c>
      <c r="F19" s="10">
        <v>129276926</v>
      </c>
      <c r="G19" s="10">
        <v>134311102</v>
      </c>
    </row>
    <row r="20" spans="1:7" x14ac:dyDescent="0.25">
      <c r="A20" s="9" t="s">
        <v>15</v>
      </c>
      <c r="B20" s="187"/>
      <c r="C20" s="10">
        <v>4358221</v>
      </c>
      <c r="D20" s="10">
        <v>6480747</v>
      </c>
      <c r="E20" s="10">
        <v>11341092</v>
      </c>
      <c r="F20" s="10">
        <v>77961056</v>
      </c>
      <c r="G20" s="10">
        <v>62803496</v>
      </c>
    </row>
    <row r="21" spans="1:7" x14ac:dyDescent="0.25">
      <c r="A21" s="9" t="s">
        <v>17</v>
      </c>
      <c r="B21" s="187"/>
      <c r="C21" s="10">
        <v>278392666</v>
      </c>
      <c r="D21" s="10">
        <v>990764</v>
      </c>
      <c r="E21" s="10">
        <v>100469</v>
      </c>
      <c r="F21" s="10">
        <v>63496884</v>
      </c>
      <c r="G21" s="174">
        <v>0</v>
      </c>
    </row>
    <row r="22" spans="1:7" x14ac:dyDescent="0.25">
      <c r="A22" s="9" t="s">
        <v>19</v>
      </c>
      <c r="B22" s="187"/>
      <c r="C22" s="10">
        <v>1108082670</v>
      </c>
      <c r="D22" s="10">
        <v>1317093191</v>
      </c>
      <c r="E22" s="10">
        <v>732422221</v>
      </c>
      <c r="F22" s="10">
        <v>913979145</v>
      </c>
      <c r="G22" s="10">
        <v>627215350</v>
      </c>
    </row>
    <row r="23" spans="1:7" x14ac:dyDescent="0.25">
      <c r="A23" s="9" t="s">
        <v>18</v>
      </c>
      <c r="B23" s="187"/>
      <c r="C23" s="10">
        <v>39364990</v>
      </c>
      <c r="D23" s="10">
        <v>55222389</v>
      </c>
      <c r="E23" s="10">
        <v>58423416</v>
      </c>
      <c r="F23" s="10">
        <v>55532497</v>
      </c>
      <c r="G23" s="10">
        <v>840978</v>
      </c>
    </row>
    <row r="24" spans="1:7" x14ac:dyDescent="0.25">
      <c r="A24" s="9" t="s">
        <v>20</v>
      </c>
      <c r="B24" s="187"/>
      <c r="C24" s="10">
        <v>10269325</v>
      </c>
      <c r="D24" s="10">
        <v>10926980</v>
      </c>
      <c r="E24" s="10">
        <v>33343588</v>
      </c>
      <c r="F24" s="10">
        <v>46874022</v>
      </c>
      <c r="G24" s="10">
        <v>88484932</v>
      </c>
    </row>
    <row r="25" spans="1:7" x14ac:dyDescent="0.25">
      <c r="A25" s="9" t="s">
        <v>21</v>
      </c>
      <c r="B25" s="187"/>
      <c r="C25" s="10">
        <v>1692693312</v>
      </c>
      <c r="D25" s="10">
        <v>2211191138</v>
      </c>
      <c r="E25" s="10">
        <v>2721487167</v>
      </c>
      <c r="F25" s="10">
        <v>2332763703</v>
      </c>
      <c r="G25" s="10">
        <v>4188503170</v>
      </c>
    </row>
    <row r="26" spans="1:7" x14ac:dyDescent="0.25">
      <c r="A26" t="s">
        <v>92</v>
      </c>
      <c r="B26" s="194"/>
      <c r="C26" s="193">
        <v>0</v>
      </c>
      <c r="D26" s="193">
        <v>0</v>
      </c>
      <c r="E26" s="140">
        <v>46349034</v>
      </c>
      <c r="F26" s="193">
        <v>0</v>
      </c>
      <c r="G26" s="193">
        <v>0</v>
      </c>
    </row>
    <row r="27" spans="1:7" x14ac:dyDescent="0.25">
      <c r="A27" s="146" t="s">
        <v>22</v>
      </c>
      <c r="B27" s="188"/>
      <c r="C27" s="189">
        <v>5192095905</v>
      </c>
      <c r="D27" s="189">
        <v>5892863353</v>
      </c>
      <c r="E27" s="189">
        <v>6595970629</v>
      </c>
      <c r="F27" s="189">
        <v>6603568174</v>
      </c>
      <c r="G27" s="189">
        <v>7804337604</v>
      </c>
    </row>
    <row r="28" spans="1:7" x14ac:dyDescent="0.25">
      <c r="A28" s="9"/>
      <c r="B28" s="9"/>
      <c r="C28" s="174"/>
      <c r="D28" s="174"/>
      <c r="E28" s="174"/>
      <c r="F28" s="174"/>
      <c r="G28" s="174"/>
    </row>
    <row r="29" spans="1:7" x14ac:dyDescent="0.25">
      <c r="A29" s="184" t="s">
        <v>23</v>
      </c>
      <c r="B29" s="184"/>
      <c r="C29" s="185"/>
      <c r="D29" s="185"/>
      <c r="E29" s="185"/>
      <c r="F29" s="185"/>
      <c r="G29" s="185"/>
    </row>
    <row r="30" spans="1:7" x14ac:dyDescent="0.25">
      <c r="A30" s="146" t="s">
        <v>24</v>
      </c>
      <c r="B30" s="202"/>
      <c r="C30" s="186"/>
      <c r="D30" s="186"/>
      <c r="E30" s="186"/>
      <c r="F30" s="186"/>
      <c r="G30" s="186"/>
    </row>
    <row r="31" spans="1:7" x14ac:dyDescent="0.25">
      <c r="A31" s="174" t="s">
        <v>25</v>
      </c>
      <c r="B31" s="10"/>
      <c r="C31" s="10">
        <v>465974520</v>
      </c>
      <c r="D31" s="10">
        <v>489273246</v>
      </c>
      <c r="E31" s="10">
        <v>605475641</v>
      </c>
      <c r="F31" s="10">
        <v>749276090</v>
      </c>
      <c r="G31" s="10">
        <v>749276090</v>
      </c>
    </row>
    <row r="32" spans="1:7" x14ac:dyDescent="0.25">
      <c r="A32" s="174" t="s">
        <v>26</v>
      </c>
      <c r="B32" s="10"/>
      <c r="C32" s="10">
        <v>2132713065</v>
      </c>
      <c r="D32" s="10">
        <v>2006437674</v>
      </c>
      <c r="E32" s="10">
        <v>2143828009</v>
      </c>
      <c r="F32" s="10">
        <v>3129786668</v>
      </c>
      <c r="G32" s="10">
        <v>2031025235</v>
      </c>
    </row>
    <row r="33" spans="1:7" x14ac:dyDescent="0.25">
      <c r="A33" s="9" t="s">
        <v>27</v>
      </c>
      <c r="B33" s="187"/>
      <c r="C33" s="10">
        <v>2598687585</v>
      </c>
      <c r="D33" s="10">
        <v>2495710920</v>
      </c>
      <c r="E33" s="10">
        <v>2749303650</v>
      </c>
      <c r="F33" s="10">
        <v>3879062758</v>
      </c>
      <c r="G33" s="10">
        <v>2780301325</v>
      </c>
    </row>
    <row r="34" spans="1:7" x14ac:dyDescent="0.25">
      <c r="A34" s="146" t="s">
        <v>28</v>
      </c>
      <c r="B34" s="146"/>
      <c r="C34" s="186"/>
      <c r="D34" s="186"/>
      <c r="E34" s="186"/>
      <c r="F34" s="186"/>
      <c r="G34" s="186"/>
    </row>
    <row r="35" spans="1:7" x14ac:dyDescent="0.25">
      <c r="A35" s="197" t="s">
        <v>93</v>
      </c>
      <c r="B35" s="199"/>
      <c r="C35" s="199">
        <v>1125818640</v>
      </c>
      <c r="D35" s="199">
        <v>922593072</v>
      </c>
      <c r="E35" s="199">
        <v>642015721</v>
      </c>
      <c r="F35" s="199">
        <v>391504062</v>
      </c>
      <c r="G35" s="199">
        <v>289780120</v>
      </c>
    </row>
    <row r="36" spans="1:7" x14ac:dyDescent="0.25">
      <c r="A36" s="9" t="s">
        <v>31</v>
      </c>
      <c r="B36" s="187"/>
      <c r="C36" s="10">
        <v>29257534</v>
      </c>
      <c r="D36" s="10">
        <v>30602944</v>
      </c>
      <c r="E36" s="10">
        <v>33550788</v>
      </c>
      <c r="F36" s="10">
        <v>48601679</v>
      </c>
      <c r="G36" s="10">
        <v>76471242</v>
      </c>
    </row>
    <row r="37" spans="1:7" x14ac:dyDescent="0.25">
      <c r="A37" s="197" t="s">
        <v>94</v>
      </c>
      <c r="B37" s="199"/>
      <c r="C37" s="199">
        <v>28676760</v>
      </c>
      <c r="D37" s="199">
        <v>51182345</v>
      </c>
      <c r="E37" s="199">
        <v>49451951</v>
      </c>
      <c r="F37" s="199">
        <v>46835731</v>
      </c>
      <c r="G37" s="199">
        <v>57000808</v>
      </c>
    </row>
    <row r="38" spans="1:7" x14ac:dyDescent="0.25">
      <c r="A38" s="197" t="s">
        <v>95</v>
      </c>
      <c r="B38" s="10"/>
      <c r="C38" s="10">
        <v>4445294</v>
      </c>
      <c r="D38" s="10">
        <v>4301305</v>
      </c>
      <c r="E38" s="10">
        <v>3971207</v>
      </c>
      <c r="F38" s="199">
        <v>3280132</v>
      </c>
      <c r="G38" s="199">
        <v>3520561</v>
      </c>
    </row>
    <row r="39" spans="1:7" x14ac:dyDescent="0.25">
      <c r="A39" s="197" t="s">
        <v>96</v>
      </c>
      <c r="B39" s="197"/>
      <c r="C39" s="199">
        <v>3614418</v>
      </c>
      <c r="D39" s="199">
        <v>70762929</v>
      </c>
      <c r="E39" s="199">
        <v>103369766</v>
      </c>
      <c r="F39" s="199">
        <v>98724221</v>
      </c>
      <c r="G39" s="199">
        <v>75704286</v>
      </c>
    </row>
    <row r="40" spans="1:7" x14ac:dyDescent="0.25">
      <c r="A40" s="174" t="s">
        <v>29</v>
      </c>
      <c r="B40" s="10"/>
      <c r="C40" s="10">
        <v>170970925</v>
      </c>
      <c r="D40" s="10">
        <v>79579039</v>
      </c>
      <c r="E40" s="10">
        <v>47087847</v>
      </c>
      <c r="F40" s="10">
        <v>678769650</v>
      </c>
      <c r="G40" s="10">
        <v>542686195</v>
      </c>
    </row>
    <row r="41" spans="1:7" x14ac:dyDescent="0.25">
      <c r="A41" s="197" t="s">
        <v>97</v>
      </c>
      <c r="B41" s="199"/>
      <c r="C41" s="199">
        <v>119290919</v>
      </c>
      <c r="D41" s="199">
        <v>119290919</v>
      </c>
      <c r="E41" s="199">
        <v>0</v>
      </c>
      <c r="F41" s="199">
        <v>0</v>
      </c>
      <c r="G41" s="199">
        <v>0</v>
      </c>
    </row>
    <row r="42" spans="1:7" x14ac:dyDescent="0.25">
      <c r="A42" s="9" t="s">
        <v>32</v>
      </c>
      <c r="B42" s="187"/>
      <c r="C42" s="10">
        <v>1482074490</v>
      </c>
      <c r="D42" s="10">
        <v>1278312553</v>
      </c>
      <c r="E42" s="10">
        <v>879447280</v>
      </c>
      <c r="F42" s="10">
        <v>1267715475</v>
      </c>
      <c r="G42" s="10">
        <v>1045163212</v>
      </c>
    </row>
    <row r="43" spans="1:7" x14ac:dyDescent="0.25">
      <c r="A43" s="146" t="s">
        <v>33</v>
      </c>
      <c r="B43" s="202"/>
      <c r="C43" s="186"/>
      <c r="D43" s="186"/>
      <c r="E43" s="186"/>
      <c r="F43" s="186"/>
      <c r="G43" s="186"/>
    </row>
    <row r="44" spans="1:7" x14ac:dyDescent="0.25">
      <c r="A44" s="174" t="s">
        <v>34</v>
      </c>
      <c r="B44" s="10"/>
      <c r="C44" s="10">
        <v>454504895</v>
      </c>
      <c r="D44" s="10">
        <v>471657638</v>
      </c>
      <c r="E44" s="10">
        <v>457296481</v>
      </c>
      <c r="F44" s="10">
        <v>557611364</v>
      </c>
      <c r="G44" s="10">
        <v>508782994</v>
      </c>
    </row>
    <row r="45" spans="1:7" x14ac:dyDescent="0.25">
      <c r="A45" s="174" t="s">
        <v>35</v>
      </c>
      <c r="B45" s="10"/>
      <c r="C45" s="10">
        <v>36489970</v>
      </c>
      <c r="D45" s="10">
        <v>34592406</v>
      </c>
      <c r="E45" s="10">
        <v>505943198</v>
      </c>
      <c r="F45" s="10">
        <v>408681857</v>
      </c>
      <c r="G45" s="10">
        <v>51204552</v>
      </c>
    </row>
    <row r="46" spans="1:7" x14ac:dyDescent="0.25">
      <c r="A46" s="174" t="s">
        <v>38</v>
      </c>
      <c r="B46" s="10"/>
      <c r="C46" s="10">
        <v>18648988</v>
      </c>
      <c r="D46" s="10">
        <v>19331423</v>
      </c>
      <c r="E46" s="10">
        <v>19707001</v>
      </c>
      <c r="F46" s="10">
        <v>23378823</v>
      </c>
      <c r="G46" s="10">
        <v>26816767</v>
      </c>
    </row>
    <row r="47" spans="1:7" x14ac:dyDescent="0.25">
      <c r="A47" s="174" t="s">
        <v>39</v>
      </c>
      <c r="B47" s="10"/>
      <c r="C47" s="10">
        <v>20338515</v>
      </c>
      <c r="D47" s="10">
        <v>50683240</v>
      </c>
      <c r="E47" s="10">
        <v>96518298</v>
      </c>
      <c r="F47" s="10">
        <v>27520528</v>
      </c>
      <c r="G47" s="10">
        <v>266142380</v>
      </c>
    </row>
    <row r="48" spans="1:7" x14ac:dyDescent="0.25">
      <c r="A48" s="174" t="s">
        <v>37</v>
      </c>
      <c r="B48" s="10"/>
      <c r="C48" s="10">
        <v>297981575</v>
      </c>
      <c r="D48" s="10">
        <v>1063921237</v>
      </c>
      <c r="E48" s="10">
        <v>1258052978</v>
      </c>
      <c r="F48" s="140">
        <v>14213010</v>
      </c>
      <c r="G48" s="10">
        <v>2680118028</v>
      </c>
    </row>
    <row r="49" spans="1:7" x14ac:dyDescent="0.25">
      <c r="A49" s="197" t="s">
        <v>98</v>
      </c>
      <c r="B49" s="10"/>
      <c r="C49" s="10">
        <v>112811399</v>
      </c>
      <c r="D49" s="10">
        <v>0</v>
      </c>
      <c r="E49" s="10">
        <v>0</v>
      </c>
      <c r="F49" s="10">
        <v>0</v>
      </c>
      <c r="G49" s="10">
        <v>0</v>
      </c>
    </row>
    <row r="50" spans="1:7" x14ac:dyDescent="0.25">
      <c r="A50" s="197" t="s">
        <v>99</v>
      </c>
      <c r="B50" s="10"/>
      <c r="C50" s="10">
        <v>13014176</v>
      </c>
      <c r="D50" s="10">
        <v>0</v>
      </c>
      <c r="E50" s="10">
        <v>0</v>
      </c>
      <c r="F50" s="10">
        <v>0</v>
      </c>
      <c r="G50" s="10">
        <v>0</v>
      </c>
    </row>
    <row r="51" spans="1:7" x14ac:dyDescent="0.25">
      <c r="A51" s="197" t="s">
        <v>100</v>
      </c>
      <c r="B51" s="10"/>
      <c r="C51" s="10">
        <v>3757652</v>
      </c>
      <c r="D51" s="10">
        <v>0</v>
      </c>
      <c r="E51" s="10">
        <v>0</v>
      </c>
      <c r="F51" s="10">
        <v>0</v>
      </c>
      <c r="G51" s="10">
        <v>0</v>
      </c>
    </row>
    <row r="52" spans="1:7" x14ac:dyDescent="0.25">
      <c r="A52" s="197" t="s">
        <v>101</v>
      </c>
      <c r="B52" s="10"/>
      <c r="C52" s="10">
        <v>2409613</v>
      </c>
      <c r="D52" s="10">
        <v>0</v>
      </c>
      <c r="E52" s="10">
        <v>0</v>
      </c>
      <c r="F52" s="10">
        <v>0</v>
      </c>
      <c r="G52" s="10">
        <v>0</v>
      </c>
    </row>
    <row r="53" spans="1:7" x14ac:dyDescent="0.25">
      <c r="A53" s="197" t="s">
        <v>102</v>
      </c>
      <c r="B53" s="10"/>
      <c r="C53" s="10">
        <v>43967017</v>
      </c>
      <c r="D53" s="10">
        <v>6822533</v>
      </c>
      <c r="E53" s="10">
        <v>15391972</v>
      </c>
      <c r="F53" s="199">
        <v>23440691</v>
      </c>
      <c r="G53" s="199">
        <v>0</v>
      </c>
    </row>
    <row r="54" spans="1:7" x14ac:dyDescent="0.25">
      <c r="A54" s="197" t="s">
        <v>103</v>
      </c>
      <c r="B54" s="174"/>
      <c r="C54" s="174">
        <v>0</v>
      </c>
      <c r="D54" s="10">
        <v>394933910</v>
      </c>
      <c r="E54" s="10">
        <v>408198116</v>
      </c>
      <c r="F54" s="199">
        <v>142709752</v>
      </c>
      <c r="G54" s="199">
        <v>188707371</v>
      </c>
    </row>
    <row r="55" spans="1:7" x14ac:dyDescent="0.25">
      <c r="A55" s="197" t="s">
        <v>104</v>
      </c>
      <c r="B55" s="10"/>
      <c r="C55" s="10">
        <v>107410030</v>
      </c>
      <c r="D55" s="10">
        <v>76897493</v>
      </c>
      <c r="E55" s="10">
        <v>206111655</v>
      </c>
      <c r="F55" s="199">
        <v>259233916</v>
      </c>
      <c r="G55" s="199">
        <v>257100975</v>
      </c>
    </row>
    <row r="56" spans="1:7" x14ac:dyDescent="0.25">
      <c r="A56" s="9" t="s">
        <v>41</v>
      </c>
      <c r="B56" s="187"/>
      <c r="C56" s="10">
        <v>1111333830</v>
      </c>
      <c r="D56" s="10">
        <v>2118839880</v>
      </c>
      <c r="E56" s="10">
        <v>2967219699</v>
      </c>
      <c r="F56" s="10">
        <v>1456789941</v>
      </c>
      <c r="G56" s="10">
        <v>3978873067</v>
      </c>
    </row>
    <row r="57" spans="1:7" x14ac:dyDescent="0.25">
      <c r="A57" s="146" t="s">
        <v>42</v>
      </c>
      <c r="B57" s="188"/>
      <c r="C57" s="189">
        <v>5192095905</v>
      </c>
      <c r="D57" s="189">
        <v>5892863353</v>
      </c>
      <c r="E57" s="189">
        <v>6595970629</v>
      </c>
      <c r="F57" s="189">
        <v>6603568174</v>
      </c>
      <c r="G57" s="189">
        <v>7804337604</v>
      </c>
    </row>
    <row r="58" spans="1:7" x14ac:dyDescent="0.25">
      <c r="A58" s="190"/>
      <c r="B58" s="191"/>
      <c r="C58" s="8"/>
      <c r="D58" s="8"/>
      <c r="E58" s="8"/>
      <c r="F58" s="8"/>
      <c r="G58" s="8"/>
    </row>
    <row r="59" spans="1:7" x14ac:dyDescent="0.25">
      <c r="A59" s="190"/>
      <c r="B59" s="191"/>
      <c r="C59" s="8"/>
      <c r="D59" s="8"/>
      <c r="E59" s="8"/>
      <c r="F59" s="8"/>
      <c r="G59" s="8"/>
    </row>
    <row r="60" spans="1:7" x14ac:dyDescent="0.25">
      <c r="A60" s="5"/>
      <c r="B60" s="5"/>
      <c r="C60" s="7"/>
      <c r="D60" s="7"/>
      <c r="E60" s="7"/>
      <c r="F60" s="7"/>
      <c r="G60" s="7"/>
    </row>
    <row r="61" spans="1:7" ht="22.5" x14ac:dyDescent="0.3">
      <c r="A61" s="479" t="s">
        <v>125</v>
      </c>
      <c r="B61" s="479"/>
      <c r="C61" s="479"/>
      <c r="D61" s="479"/>
      <c r="E61" s="479"/>
      <c r="F61" s="479"/>
      <c r="G61" s="479"/>
    </row>
    <row r="62" spans="1:7" ht="22.5" x14ac:dyDescent="0.3">
      <c r="A62" s="479" t="s">
        <v>126</v>
      </c>
      <c r="B62" s="479"/>
      <c r="C62" s="479"/>
      <c r="D62" s="479"/>
      <c r="E62" s="479"/>
      <c r="F62" s="479"/>
      <c r="G62" s="479"/>
    </row>
    <row r="63" spans="1:7" ht="22.5" x14ac:dyDescent="0.3">
      <c r="A63" s="139"/>
      <c r="B63" s="139"/>
      <c r="C63" s="145">
        <v>2020</v>
      </c>
      <c r="D63" s="203">
        <v>2021</v>
      </c>
      <c r="E63" s="166">
        <v>2022</v>
      </c>
      <c r="F63" s="166">
        <v>2023</v>
      </c>
      <c r="G63" s="166">
        <v>2024</v>
      </c>
    </row>
    <row r="64" spans="1:7" x14ac:dyDescent="0.25">
      <c r="A64" s="197"/>
      <c r="B64" s="197"/>
      <c r="C64" s="197"/>
    </row>
    <row r="65" spans="1:7" x14ac:dyDescent="0.25">
      <c r="A65" s="9" t="s">
        <v>106</v>
      </c>
      <c r="B65" s="9"/>
      <c r="C65" s="10">
        <v>7416618258</v>
      </c>
      <c r="D65" s="204">
        <v>6974385062</v>
      </c>
      <c r="E65" s="175">
        <v>7982754657</v>
      </c>
      <c r="F65" s="175">
        <v>12664172003</v>
      </c>
      <c r="G65" s="175">
        <v>12845351524</v>
      </c>
    </row>
    <row r="66" spans="1:7" x14ac:dyDescent="0.25">
      <c r="A66" s="9" t="s">
        <v>107</v>
      </c>
      <c r="B66" s="9"/>
      <c r="C66" s="10">
        <v>-991942663</v>
      </c>
      <c r="D66" s="204">
        <v>-910846723</v>
      </c>
      <c r="E66" s="175">
        <v>-1084727723</v>
      </c>
      <c r="F66" s="175">
        <v>-1680639294</v>
      </c>
      <c r="G66" s="175">
        <v>-1856483268</v>
      </c>
    </row>
    <row r="67" spans="1:7" x14ac:dyDescent="0.25">
      <c r="A67" s="9" t="s">
        <v>108</v>
      </c>
      <c r="B67" s="9"/>
      <c r="C67" s="10">
        <v>6424675595</v>
      </c>
      <c r="D67" s="204">
        <v>6063538339</v>
      </c>
      <c r="E67" s="175">
        <v>6898026934</v>
      </c>
      <c r="F67" s="175">
        <v>10983532709</v>
      </c>
      <c r="G67" s="175">
        <v>10988868256</v>
      </c>
    </row>
    <row r="68" spans="1:7" x14ac:dyDescent="0.25">
      <c r="A68" s="9" t="s">
        <v>45</v>
      </c>
      <c r="B68" s="9"/>
      <c r="C68" s="10">
        <v>-5960056278</v>
      </c>
      <c r="D68" s="204">
        <v>-5426675320</v>
      </c>
      <c r="E68" s="175">
        <v>-6090624458</v>
      </c>
      <c r="F68" s="175">
        <v>-8619569874</v>
      </c>
      <c r="G68" s="175">
        <v>-10093839447</v>
      </c>
    </row>
    <row r="69" spans="1:7" x14ac:dyDescent="0.25">
      <c r="A69" s="146" t="s">
        <v>46</v>
      </c>
      <c r="B69" s="146"/>
      <c r="C69" s="189">
        <v>464619317</v>
      </c>
      <c r="D69" s="205">
        <v>636863019</v>
      </c>
      <c r="E69" s="176">
        <v>807402476</v>
      </c>
      <c r="F69" s="176">
        <v>2363962835</v>
      </c>
      <c r="G69" s="176">
        <v>895028809</v>
      </c>
    </row>
    <row r="70" spans="1:7" x14ac:dyDescent="0.25">
      <c r="A70" s="9" t="s">
        <v>109</v>
      </c>
      <c r="B70" s="9"/>
      <c r="C70" s="10">
        <v>-47076915</v>
      </c>
      <c r="D70" s="204">
        <v>-45205970</v>
      </c>
      <c r="E70" s="175">
        <v>-72561036</v>
      </c>
      <c r="F70" s="175">
        <v>-84227705</v>
      </c>
      <c r="G70" s="175">
        <v>-133265196</v>
      </c>
    </row>
    <row r="71" spans="1:7" x14ac:dyDescent="0.25">
      <c r="A71" s="9" t="s">
        <v>48</v>
      </c>
      <c r="B71" s="9"/>
      <c r="C71" s="10">
        <v>-219210011</v>
      </c>
      <c r="D71" s="204">
        <v>-262331081</v>
      </c>
      <c r="E71" s="175">
        <v>-255626613</v>
      </c>
      <c r="F71" s="175">
        <v>-309775486</v>
      </c>
      <c r="G71" s="175">
        <v>-354613309</v>
      </c>
    </row>
    <row r="72" spans="1:7" x14ac:dyDescent="0.25">
      <c r="A72" s="9" t="s">
        <v>110</v>
      </c>
      <c r="B72" s="9"/>
      <c r="C72" s="10">
        <v>-6106252</v>
      </c>
      <c r="D72" s="204">
        <v>-180898851</v>
      </c>
      <c r="E72" s="175">
        <v>-111892450</v>
      </c>
      <c r="F72" s="175">
        <v>-98009043</v>
      </c>
      <c r="G72" s="175">
        <v>-10231839</v>
      </c>
    </row>
    <row r="73" spans="1:7" x14ac:dyDescent="0.25">
      <c r="A73" s="9" t="s">
        <v>50</v>
      </c>
      <c r="B73" s="9"/>
      <c r="C73" s="10">
        <v>235533192</v>
      </c>
      <c r="D73" s="204">
        <v>233865256</v>
      </c>
      <c r="E73" s="175">
        <v>156850337</v>
      </c>
      <c r="F73" s="175">
        <v>292230718</v>
      </c>
      <c r="G73" s="175">
        <v>833124473</v>
      </c>
    </row>
    <row r="74" spans="1:7" x14ac:dyDescent="0.25">
      <c r="A74" s="9" t="s">
        <v>51</v>
      </c>
      <c r="B74" s="9"/>
      <c r="C74" s="10">
        <v>-36859986</v>
      </c>
      <c r="D74" s="204">
        <v>-254570646</v>
      </c>
      <c r="E74" s="175">
        <v>-283229762</v>
      </c>
      <c r="F74" s="175">
        <v>-199781516</v>
      </c>
      <c r="G74" s="175">
        <v>335014129</v>
      </c>
    </row>
    <row r="75" spans="1:7" x14ac:dyDescent="0.25">
      <c r="A75" s="146" t="s">
        <v>52</v>
      </c>
      <c r="B75" s="146"/>
      <c r="C75" s="189">
        <v>427759331</v>
      </c>
      <c r="D75" s="205">
        <v>382292373</v>
      </c>
      <c r="E75" s="176">
        <v>524172714</v>
      </c>
      <c r="F75" s="176">
        <v>2164181319</v>
      </c>
      <c r="G75" s="176">
        <v>1230042938</v>
      </c>
    </row>
    <row r="76" spans="1:7" x14ac:dyDescent="0.25">
      <c r="A76" s="9" t="s">
        <v>111</v>
      </c>
      <c r="B76" s="9"/>
      <c r="C76" s="10">
        <v>76920116</v>
      </c>
      <c r="D76" s="204">
        <v>61598367</v>
      </c>
      <c r="E76" s="175">
        <v>440137609</v>
      </c>
      <c r="F76" s="175">
        <v>911791339</v>
      </c>
      <c r="G76" s="175">
        <v>-652281208</v>
      </c>
    </row>
    <row r="77" spans="1:7" x14ac:dyDescent="0.25">
      <c r="A77" s="197" t="s">
        <v>112</v>
      </c>
      <c r="B77" s="9"/>
      <c r="C77" s="10">
        <v>0</v>
      </c>
      <c r="D77" s="204">
        <v>-79832819</v>
      </c>
      <c r="E77" s="175">
        <v>0</v>
      </c>
      <c r="F77" s="175">
        <v>0</v>
      </c>
      <c r="G77" s="175">
        <v>0</v>
      </c>
    </row>
    <row r="78" spans="1:7" x14ac:dyDescent="0.25">
      <c r="A78" s="197" t="s">
        <v>113</v>
      </c>
      <c r="B78" s="9"/>
      <c r="C78" s="10">
        <v>0</v>
      </c>
      <c r="D78" s="204">
        <v>-72915974</v>
      </c>
      <c r="E78" s="175">
        <v>-44487436</v>
      </c>
      <c r="F78" s="175">
        <v>-160173441</v>
      </c>
      <c r="G78" s="175">
        <v>0</v>
      </c>
    </row>
    <row r="79" spans="1:7" x14ac:dyDescent="0.25">
      <c r="A79" s="9" t="s">
        <v>114</v>
      </c>
      <c r="B79" s="9"/>
      <c r="C79" s="10">
        <v>-342318880</v>
      </c>
      <c r="D79" s="204">
        <v>-264551531</v>
      </c>
      <c r="E79" s="175">
        <v>-526315697</v>
      </c>
      <c r="F79" s="175">
        <v>-635304325</v>
      </c>
      <c r="G79" s="175">
        <v>-1253086905</v>
      </c>
    </row>
    <row r="80" spans="1:7" x14ac:dyDescent="0.25">
      <c r="A80" s="146" t="s">
        <v>115</v>
      </c>
      <c r="B80" s="146"/>
      <c r="C80" s="206">
        <v>162360567</v>
      </c>
      <c r="D80" s="205">
        <v>26590416</v>
      </c>
      <c r="E80" s="176">
        <v>393507190</v>
      </c>
      <c r="F80" s="176">
        <v>2280494892</v>
      </c>
      <c r="G80" s="176">
        <v>-675325174</v>
      </c>
    </row>
    <row r="81" spans="1:7" x14ac:dyDescent="0.25">
      <c r="A81" s="198" t="s">
        <v>55</v>
      </c>
      <c r="B81" s="198"/>
      <c r="C81" s="196">
        <v>0</v>
      </c>
      <c r="D81" s="178">
        <v>0</v>
      </c>
      <c r="E81" s="178">
        <v>0</v>
      </c>
      <c r="F81" s="175">
        <v>-196139621</v>
      </c>
      <c r="G81" s="175">
        <v>-39740926</v>
      </c>
    </row>
    <row r="82" spans="1:7" x14ac:dyDescent="0.25">
      <c r="A82" s="167" t="s">
        <v>116</v>
      </c>
      <c r="B82" s="167"/>
      <c r="C82" s="178">
        <v>0</v>
      </c>
      <c r="D82" s="178">
        <v>0</v>
      </c>
      <c r="E82" s="178">
        <v>0</v>
      </c>
      <c r="F82" s="175">
        <v>0</v>
      </c>
      <c r="G82" s="175">
        <v>-134859713</v>
      </c>
    </row>
    <row r="83" spans="1:7" x14ac:dyDescent="0.25">
      <c r="A83" s="168" t="s">
        <v>117</v>
      </c>
      <c r="B83" s="168"/>
      <c r="C83" s="176">
        <v>162360567</v>
      </c>
      <c r="D83" s="176">
        <v>26590416</v>
      </c>
      <c r="E83" s="176">
        <v>393507190</v>
      </c>
      <c r="F83" s="176">
        <v>2084355271</v>
      </c>
      <c r="G83" s="176">
        <v>-849925813</v>
      </c>
    </row>
    <row r="84" spans="1:7" x14ac:dyDescent="0.25">
      <c r="A84" s="167" t="s">
        <v>57</v>
      </c>
      <c r="B84" s="167"/>
      <c r="C84" s="175">
        <v>-115619362</v>
      </c>
      <c r="D84" s="175">
        <v>-41703171</v>
      </c>
      <c r="E84" s="175">
        <v>-104376800</v>
      </c>
      <c r="F84" s="175">
        <v>-641445807</v>
      </c>
      <c r="G84" s="175">
        <v>50850459</v>
      </c>
    </row>
    <row r="85" spans="1:7" x14ac:dyDescent="0.25">
      <c r="A85" s="168" t="s">
        <v>118</v>
      </c>
      <c r="B85" s="168"/>
      <c r="C85" s="176">
        <v>46741205</v>
      </c>
      <c r="D85" s="176">
        <v>-15112755</v>
      </c>
      <c r="E85" s="176">
        <v>289130390</v>
      </c>
      <c r="F85" s="176">
        <v>1442909464</v>
      </c>
      <c r="G85" s="176">
        <v>-799075354</v>
      </c>
    </row>
    <row r="86" spans="1:7" x14ac:dyDescent="0.25">
      <c r="A86" s="168" t="s">
        <v>59</v>
      </c>
      <c r="B86" s="168"/>
      <c r="C86" s="177">
        <v>1.01</v>
      </c>
      <c r="D86" s="177">
        <v>-0.25</v>
      </c>
      <c r="E86" s="177">
        <v>5.33</v>
      </c>
      <c r="F86" s="177">
        <v>19.260000000000002</v>
      </c>
      <c r="G86" s="177">
        <v>-10.66</v>
      </c>
    </row>
    <row r="88" spans="1:7" x14ac:dyDescent="0.25">
      <c r="A88" s="179" t="s">
        <v>61</v>
      </c>
      <c r="B88" s="180"/>
      <c r="C88" s="181"/>
      <c r="D88" s="181"/>
      <c r="E88" s="181"/>
      <c r="F88" s="181"/>
      <c r="G88" s="182"/>
    </row>
    <row r="89" spans="1:7" ht="29.25" x14ac:dyDescent="0.25">
      <c r="A89" s="169" t="s">
        <v>119</v>
      </c>
      <c r="B89" s="170"/>
      <c r="C89" s="181"/>
      <c r="D89" s="181"/>
      <c r="E89" s="181"/>
      <c r="F89" s="181"/>
      <c r="G89" s="182"/>
    </row>
    <row r="90" spans="1:7" x14ac:dyDescent="0.25">
      <c r="A90" s="167" t="s">
        <v>62</v>
      </c>
      <c r="B90" s="167"/>
      <c r="C90" s="175">
        <v>327537</v>
      </c>
      <c r="D90" s="175">
        <v>-155739</v>
      </c>
      <c r="E90" s="175">
        <v>617210</v>
      </c>
      <c r="F90" s="175">
        <v>555650</v>
      </c>
      <c r="G90" s="175">
        <v>24357</v>
      </c>
    </row>
    <row r="91" spans="1:7" x14ac:dyDescent="0.25">
      <c r="A91" s="167" t="s">
        <v>120</v>
      </c>
      <c r="B91" s="167"/>
      <c r="C91" s="175">
        <v>234060428</v>
      </c>
      <c r="D91" s="140">
        <v>-107989</v>
      </c>
      <c r="E91" s="140">
        <v>1105114</v>
      </c>
      <c r="F91" s="175">
        <v>13251269</v>
      </c>
      <c r="G91" s="175">
        <v>0</v>
      </c>
    </row>
    <row r="92" spans="1:7" ht="45" x14ac:dyDescent="0.25">
      <c r="A92" s="195" t="s">
        <v>121</v>
      </c>
      <c r="B92" s="178"/>
      <c r="C92" s="175">
        <v>9962301</v>
      </c>
      <c r="D92" s="175">
        <v>-14208802</v>
      </c>
      <c r="E92" s="175">
        <v>3105290</v>
      </c>
      <c r="F92" s="175">
        <v>0</v>
      </c>
      <c r="G92" s="178">
        <v>0</v>
      </c>
    </row>
    <row r="93" spans="1:7" x14ac:dyDescent="0.25">
      <c r="A93" s="168" t="s">
        <v>122</v>
      </c>
      <c r="B93" s="168"/>
      <c r="C93" s="176">
        <v>291091471</v>
      </c>
      <c r="D93" s="176">
        <v>-29585285</v>
      </c>
      <c r="E93" s="176">
        <v>293958004</v>
      </c>
      <c r="F93" s="176">
        <v>1456716383</v>
      </c>
      <c r="G93" s="176">
        <v>-799050997</v>
      </c>
    </row>
    <row r="94" spans="1:7" x14ac:dyDescent="0.25">
      <c r="A94" s="190"/>
      <c r="B94" s="190"/>
      <c r="C94" s="8"/>
      <c r="D94" s="8"/>
      <c r="E94" s="8"/>
      <c r="F94" s="8"/>
      <c r="G94" s="8"/>
    </row>
    <row r="95" spans="1:7" x14ac:dyDescent="0.25">
      <c r="A95" s="190"/>
      <c r="B95" s="190"/>
      <c r="C95" s="8"/>
      <c r="D95" s="8"/>
      <c r="E95" s="8"/>
      <c r="F95" s="8"/>
      <c r="G95" s="8"/>
    </row>
    <row r="96" spans="1:7" x14ac:dyDescent="0.25">
      <c r="A96" s="5"/>
      <c r="B96" s="5"/>
      <c r="C96" s="7"/>
      <c r="D96" s="7"/>
      <c r="E96" s="7"/>
      <c r="F96" s="7"/>
      <c r="G96" s="7"/>
    </row>
    <row r="97" spans="1:7" ht="18.75" x14ac:dyDescent="0.3">
      <c r="A97" s="483" t="s">
        <v>81</v>
      </c>
      <c r="B97" s="483"/>
      <c r="C97" s="483"/>
      <c r="D97" s="483"/>
      <c r="E97" s="483"/>
      <c r="F97" s="483"/>
      <c r="G97" s="483"/>
    </row>
    <row r="98" spans="1:7" x14ac:dyDescent="0.25">
      <c r="A98" s="171"/>
      <c r="B98" s="171"/>
      <c r="C98" s="172">
        <v>2020</v>
      </c>
      <c r="D98" s="172">
        <v>2021</v>
      </c>
      <c r="E98" s="172">
        <v>2022</v>
      </c>
      <c r="F98" s="172">
        <v>2023</v>
      </c>
      <c r="G98" s="172">
        <v>2024</v>
      </c>
    </row>
    <row r="99" spans="1:7" x14ac:dyDescent="0.25">
      <c r="A99" s="9" t="s">
        <v>82</v>
      </c>
      <c r="B99" s="9"/>
      <c r="C99" s="200">
        <v>1.2500683513768092</v>
      </c>
      <c r="D99" s="200">
        <v>1.4999798170040974</v>
      </c>
      <c r="E99" s="200">
        <v>0.66674854169194986</v>
      </c>
      <c r="F99" s="200">
        <v>7.3636408176323895</v>
      </c>
      <c r="G99" s="200">
        <v>1.0000319108007303</v>
      </c>
    </row>
    <row r="100" spans="1:7" x14ac:dyDescent="0.25">
      <c r="A100" s="9" t="s">
        <v>83</v>
      </c>
      <c r="B100" s="9"/>
      <c r="C100" s="197">
        <v>74.150000000000006</v>
      </c>
      <c r="D100" s="174">
        <v>46</v>
      </c>
      <c r="E100" s="174">
        <v>35.950000000000003</v>
      </c>
      <c r="F100" s="174">
        <v>43.1</v>
      </c>
      <c r="G100" s="174">
        <v>42.08</v>
      </c>
    </row>
    <row r="101" spans="1:7" x14ac:dyDescent="0.25">
      <c r="A101" s="9" t="s">
        <v>84</v>
      </c>
      <c r="B101" s="9"/>
      <c r="C101" s="173">
        <v>-0.71</v>
      </c>
      <c r="D101" s="173">
        <v>-2.33</v>
      </c>
      <c r="E101" s="173">
        <v>-0.27</v>
      </c>
      <c r="F101" s="173">
        <v>-0.37</v>
      </c>
      <c r="G101" s="173">
        <v>0.18</v>
      </c>
    </row>
    <row r="102" spans="1:7" x14ac:dyDescent="0.25">
      <c r="A102" s="9" t="s">
        <v>88</v>
      </c>
      <c r="B102" s="9"/>
      <c r="C102" s="199">
        <v>50599.017</v>
      </c>
      <c r="D102" s="199">
        <v>149191.269</v>
      </c>
      <c r="E102" s="199">
        <v>159565.73300000001</v>
      </c>
      <c r="F102" s="199">
        <v>163955.359</v>
      </c>
      <c r="G102" s="199">
        <v>162427.93299999999</v>
      </c>
    </row>
    <row r="103" spans="1:7" x14ac:dyDescent="0.25">
      <c r="A103" s="9" t="s">
        <v>86</v>
      </c>
      <c r="B103" s="9"/>
      <c r="C103" s="174">
        <v>55.96</v>
      </c>
      <c r="D103" s="174">
        <v>51.01</v>
      </c>
      <c r="E103" s="174">
        <v>45.41</v>
      </c>
      <c r="F103" s="174">
        <v>51.78</v>
      </c>
      <c r="G103" s="174">
        <v>37.11</v>
      </c>
    </row>
    <row r="104" spans="1:7" x14ac:dyDescent="0.25">
      <c r="A104" s="9" t="s">
        <v>89</v>
      </c>
      <c r="B104" s="9"/>
      <c r="C104" s="199">
        <v>46597452</v>
      </c>
      <c r="D104" s="199">
        <v>48927325</v>
      </c>
      <c r="E104" s="199">
        <v>60547564</v>
      </c>
      <c r="F104" s="199">
        <v>74927609</v>
      </c>
      <c r="G104" s="199">
        <v>74927609</v>
      </c>
    </row>
    <row r="105" spans="1:7" x14ac:dyDescent="0.25">
      <c r="A105" s="9" t="s">
        <v>87</v>
      </c>
      <c r="B105" s="9"/>
      <c r="C105" s="174">
        <v>1.01</v>
      </c>
      <c r="D105" s="174">
        <v>-0.49</v>
      </c>
      <c r="E105" s="174">
        <v>3.86</v>
      </c>
      <c r="F105" s="174">
        <v>19.260000000000002</v>
      </c>
      <c r="G105" s="174">
        <v>-10.66</v>
      </c>
    </row>
    <row r="108" spans="1:7" ht="22.5" x14ac:dyDescent="0.3">
      <c r="A108" s="480" t="s">
        <v>63</v>
      </c>
      <c r="B108" s="481"/>
      <c r="C108" s="481"/>
      <c r="D108" s="481"/>
      <c r="E108" s="481"/>
      <c r="F108" s="481"/>
      <c r="G108" s="482"/>
    </row>
    <row r="109" spans="1:7" x14ac:dyDescent="0.25">
      <c r="A109" s="147"/>
      <c r="B109" s="148"/>
      <c r="C109" s="149">
        <v>2020</v>
      </c>
      <c r="D109" s="149">
        <v>2021</v>
      </c>
      <c r="E109" s="149">
        <v>2022</v>
      </c>
      <c r="F109" s="149">
        <v>2023</v>
      </c>
      <c r="G109" s="150">
        <v>2024</v>
      </c>
    </row>
    <row r="110" spans="1:7" x14ac:dyDescent="0.25">
      <c r="A110" s="142" t="s">
        <v>64</v>
      </c>
      <c r="B110" s="143"/>
      <c r="C110" s="151"/>
      <c r="D110" s="151"/>
      <c r="E110" s="151"/>
      <c r="F110" s="151"/>
      <c r="G110" s="152"/>
    </row>
    <row r="111" spans="1:7" x14ac:dyDescent="0.25">
      <c r="A111" s="141" t="s">
        <v>65</v>
      </c>
      <c r="B111" s="153"/>
      <c r="C111" s="201">
        <v>1.5231186762307056</v>
      </c>
      <c r="D111" s="154">
        <v>1.0435857654331104</v>
      </c>
      <c r="E111" s="154">
        <v>0.91718424756925965</v>
      </c>
      <c r="F111" s="154">
        <v>1.6013040983785871</v>
      </c>
      <c r="G111" s="154">
        <v>1.0526857980815301</v>
      </c>
    </row>
    <row r="112" spans="1:7" x14ac:dyDescent="0.25">
      <c r="A112" s="141" t="s">
        <v>66</v>
      </c>
      <c r="B112" s="153"/>
      <c r="C112" s="155">
        <v>1.1200000000000001</v>
      </c>
      <c r="D112" s="155">
        <v>0.95</v>
      </c>
      <c r="E112" s="155">
        <v>0.85</v>
      </c>
      <c r="F112" s="155">
        <v>1.4</v>
      </c>
      <c r="G112" s="155">
        <v>0.99</v>
      </c>
    </row>
    <row r="113" spans="1:7" x14ac:dyDescent="0.25">
      <c r="A113" s="142" t="s">
        <v>67</v>
      </c>
      <c r="B113" s="143"/>
      <c r="C113" s="156"/>
      <c r="D113" s="156"/>
      <c r="E113" s="156"/>
      <c r="F113" s="156"/>
      <c r="G113" s="157"/>
    </row>
    <row r="114" spans="1:7" x14ac:dyDescent="0.25">
      <c r="A114" s="141" t="s">
        <v>68</v>
      </c>
      <c r="B114" s="5"/>
      <c r="C114" s="158">
        <v>10.629884627532039</v>
      </c>
      <c r="D114" s="158">
        <v>17.439423829435817</v>
      </c>
      <c r="E114" s="158">
        <v>5.7597986032364794</v>
      </c>
      <c r="F114" s="158">
        <v>8.0334322934596756</v>
      </c>
      <c r="G114" s="158">
        <v>6.3251874222039781</v>
      </c>
    </row>
    <row r="115" spans="1:7" x14ac:dyDescent="0.25">
      <c r="A115" s="397" t="s">
        <v>322</v>
      </c>
      <c r="B115" s="398"/>
      <c r="C115" s="399">
        <v>132.00503865559529</v>
      </c>
      <c r="D115" s="399">
        <v>138.00571046653295</v>
      </c>
      <c r="E115" s="399">
        <v>81.110782238889314</v>
      </c>
      <c r="F115" s="399">
        <v>56.46789400294012</v>
      </c>
      <c r="G115" s="399">
        <v>28.61675349885607</v>
      </c>
    </row>
    <row r="116" spans="1:7" x14ac:dyDescent="0.25">
      <c r="A116" s="397" t="s">
        <v>323</v>
      </c>
      <c r="B116" s="398"/>
      <c r="C116" s="399">
        <v>10.533512879253186</v>
      </c>
      <c r="D116" s="399">
        <v>11.718624165074058</v>
      </c>
      <c r="E116" s="399">
        <v>13.112863883000879</v>
      </c>
      <c r="F116" s="399">
        <v>16.985916340020015</v>
      </c>
      <c r="G116" s="399">
        <v>18.930781790576578</v>
      </c>
    </row>
    <row r="117" spans="1:7" x14ac:dyDescent="0.25">
      <c r="A117" s="141" t="s">
        <v>69</v>
      </c>
      <c r="B117" s="5"/>
      <c r="C117" s="158">
        <v>2.7650459688307421</v>
      </c>
      <c r="D117" s="158">
        <v>2.6448180931506764</v>
      </c>
      <c r="E117" s="158">
        <v>4.5000182457246405</v>
      </c>
      <c r="F117" s="158">
        <v>6.4638500593097294</v>
      </c>
      <c r="G117" s="158">
        <v>12.754766190182634</v>
      </c>
    </row>
    <row r="118" spans="1:7" x14ac:dyDescent="0.25">
      <c r="A118" s="141" t="s">
        <v>324</v>
      </c>
      <c r="B118" s="5"/>
      <c r="C118" s="158">
        <v>34.337155368048691</v>
      </c>
      <c r="D118" s="158">
        <v>20.929590539792972</v>
      </c>
      <c r="E118" s="158">
        <v>63.370271279086637</v>
      </c>
      <c r="F118" s="158">
        <v>45.435124946177794</v>
      </c>
      <c r="G118" s="158">
        <v>57.705799944947351</v>
      </c>
    </row>
    <row r="119" spans="1:7" x14ac:dyDescent="0.25">
      <c r="A119" s="141" t="s">
        <v>325</v>
      </c>
      <c r="B119" s="5"/>
      <c r="C119" s="158">
        <v>34.651308085349591</v>
      </c>
      <c r="D119" s="158">
        <v>31.147001120476101</v>
      </c>
      <c r="E119" s="158">
        <v>27.835261866263632</v>
      </c>
      <c r="F119" s="158">
        <v>21.488390304857109</v>
      </c>
      <c r="G119" s="158">
        <v>19.28076737864523</v>
      </c>
    </row>
    <row r="120" spans="1:7" x14ac:dyDescent="0.25">
      <c r="A120" s="141" t="s">
        <v>326</v>
      </c>
      <c r="B120" s="5"/>
      <c r="C120" s="158">
        <v>-11.651308085349591</v>
      </c>
      <c r="D120" s="158">
        <v>-14.147001120476101</v>
      </c>
      <c r="E120" s="158">
        <v>38.164738133736364</v>
      </c>
      <c r="F120" s="158">
        <v>34.511609695142894</v>
      </c>
      <c r="G120" s="158">
        <v>61.71923262135477</v>
      </c>
    </row>
    <row r="121" spans="1:7" x14ac:dyDescent="0.25">
      <c r="A121" s="141" t="s">
        <v>70</v>
      </c>
      <c r="B121" s="5"/>
      <c r="C121" s="158">
        <v>1.0578046733164261</v>
      </c>
      <c r="D121" s="158">
        <v>1.0940118403455479</v>
      </c>
      <c r="E121" s="158">
        <v>1.1046710916234517</v>
      </c>
      <c r="F121" s="158">
        <v>1.6642297693770414</v>
      </c>
      <c r="G121" s="158">
        <v>1.5253942419278361</v>
      </c>
    </row>
    <row r="122" spans="1:7" x14ac:dyDescent="0.25">
      <c r="A122" s="141" t="s">
        <v>71</v>
      </c>
      <c r="B122" s="5"/>
      <c r="C122" s="158">
        <v>2.8880774225746895</v>
      </c>
      <c r="D122" s="158">
        <v>2.6377026295382926</v>
      </c>
      <c r="E122" s="158">
        <v>2.8619631758154145</v>
      </c>
      <c r="F122" s="158">
        <v>4.5333789481485098</v>
      </c>
      <c r="G122" s="158">
        <v>4.6226120319631443</v>
      </c>
    </row>
    <row r="123" spans="1:7" x14ac:dyDescent="0.25">
      <c r="A123" s="142" t="s">
        <v>72</v>
      </c>
      <c r="B123" s="143"/>
      <c r="C123" s="144"/>
      <c r="D123" s="144"/>
      <c r="E123" s="144"/>
      <c r="F123" s="144"/>
      <c r="G123" s="159"/>
    </row>
    <row r="124" spans="1:7" x14ac:dyDescent="0.25">
      <c r="A124" s="141" t="s">
        <v>334</v>
      </c>
      <c r="B124" s="5"/>
      <c r="C124" s="160">
        <v>0.49949160559660349</v>
      </c>
      <c r="D124" s="160">
        <v>0.57648586595352536</v>
      </c>
      <c r="E124" s="160">
        <v>0.58318437048334526</v>
      </c>
      <c r="F124" s="160">
        <v>0.41258079635296274</v>
      </c>
      <c r="G124" s="160">
        <v>0.64374922433199244</v>
      </c>
    </row>
    <row r="125" spans="1:7" x14ac:dyDescent="0.25">
      <c r="A125" s="141" t="s">
        <v>73</v>
      </c>
      <c r="B125" s="5"/>
      <c r="C125" s="160">
        <v>0.49949160559660349</v>
      </c>
      <c r="D125" s="160">
        <v>0.57648586595352536</v>
      </c>
      <c r="E125" s="160">
        <v>0.58318437048334526</v>
      </c>
      <c r="F125" s="160">
        <v>0.41258079635296274</v>
      </c>
      <c r="G125" s="160">
        <v>0.64374922433199244</v>
      </c>
    </row>
    <row r="126" spans="1:7" x14ac:dyDescent="0.25">
      <c r="A126" s="141" t="s">
        <v>328</v>
      </c>
      <c r="B126" s="5"/>
      <c r="C126" s="161">
        <v>0.99796848800507121</v>
      </c>
      <c r="D126" s="161">
        <v>1.3611962851050072</v>
      </c>
      <c r="E126" s="161">
        <v>1.399142280628042</v>
      </c>
      <c r="F126" s="161">
        <v>0.70236177808185907</v>
      </c>
      <c r="G126" s="161">
        <v>1.8070114321151862</v>
      </c>
    </row>
    <row r="127" spans="1:7" x14ac:dyDescent="0.25">
      <c r="A127" s="141" t="s">
        <v>329</v>
      </c>
      <c r="B127" s="5"/>
      <c r="C127" s="160">
        <v>0.30227326039708796</v>
      </c>
      <c r="D127" s="160">
        <v>0.26989790087692117</v>
      </c>
      <c r="E127" s="160">
        <v>0.18931148935427114</v>
      </c>
      <c r="F127" s="160">
        <v>9.1674964589361002E-2</v>
      </c>
      <c r="G127" s="160">
        <v>9.4388414506703752E-2</v>
      </c>
    </row>
    <row r="128" spans="1:7" x14ac:dyDescent="0.25">
      <c r="A128" s="141" t="s">
        <v>74</v>
      </c>
      <c r="B128" s="5"/>
      <c r="C128" s="162" t="s">
        <v>90</v>
      </c>
      <c r="D128" s="162" t="s">
        <v>90</v>
      </c>
      <c r="E128" s="161">
        <v>-1.1909291623384086</v>
      </c>
      <c r="F128" s="161">
        <v>-2.3735488882506264</v>
      </c>
      <c r="G128" s="161">
        <v>1.8857555957675236</v>
      </c>
    </row>
    <row r="129" spans="1:7" x14ac:dyDescent="0.25">
      <c r="A129" s="142" t="s">
        <v>75</v>
      </c>
      <c r="B129" s="143"/>
      <c r="C129" s="144"/>
      <c r="D129" s="144"/>
      <c r="E129" s="144"/>
      <c r="F129" s="144"/>
      <c r="G129" s="159"/>
    </row>
    <row r="130" spans="1:7" x14ac:dyDescent="0.25">
      <c r="A130" s="141" t="s">
        <v>302</v>
      </c>
      <c r="B130" s="5"/>
      <c r="C130" s="163">
        <v>7.2317941992524837E-2</v>
      </c>
      <c r="D130" s="163">
        <v>0.10503158113205426</v>
      </c>
      <c r="E130" s="163">
        <v>0.11704832174840563</v>
      </c>
      <c r="F130" s="163">
        <v>0.21522791415397241</v>
      </c>
      <c r="G130" s="163">
        <v>8.1448679531789636E-2</v>
      </c>
    </row>
    <row r="131" spans="1:7" x14ac:dyDescent="0.25">
      <c r="A131" s="141" t="s">
        <v>303</v>
      </c>
      <c r="B131" s="5"/>
      <c r="C131" s="164">
        <v>6.6580689511063162E-2</v>
      </c>
      <c r="D131" s="164">
        <v>6.3047737414495791E-2</v>
      </c>
      <c r="E131" s="164">
        <v>7.5988789115389088E-2</v>
      </c>
      <c r="F131" s="164">
        <v>0.19703872846180459</v>
      </c>
      <c r="G131" s="164">
        <v>0.11193536125327445</v>
      </c>
    </row>
    <row r="132" spans="1:7" x14ac:dyDescent="0.25">
      <c r="A132" s="141" t="s">
        <v>76</v>
      </c>
      <c r="B132" s="5"/>
      <c r="C132" s="164">
        <v>7.6958072597346616E-3</v>
      </c>
      <c r="D132" s="164">
        <v>-2.7267136753963521E-3</v>
      </c>
      <c r="E132" s="164">
        <v>4.6302223316719564E-2</v>
      </c>
      <c r="F132" s="164">
        <v>0.21863028482056579</v>
      </c>
      <c r="G132" s="164">
        <v>-0.11092179062138784</v>
      </c>
    </row>
    <row r="133" spans="1:7" x14ac:dyDescent="0.25">
      <c r="A133" s="141" t="s">
        <v>306</v>
      </c>
      <c r="B133" s="5"/>
      <c r="C133" s="164">
        <v>1.7999999999999999E-2</v>
      </c>
      <c r="D133" s="164">
        <v>-6.1000000000000004E-3</v>
      </c>
      <c r="E133" s="164">
        <v>0.1052</v>
      </c>
      <c r="F133" s="164">
        <v>0.37190000000000001</v>
      </c>
      <c r="G133" s="164">
        <v>-0.28739999999999999</v>
      </c>
    </row>
    <row r="134" spans="1:7" x14ac:dyDescent="0.25">
      <c r="A134" s="141" t="s">
        <v>307</v>
      </c>
      <c r="B134" s="5"/>
      <c r="C134" s="164">
        <v>7.4399999999999994E-2</v>
      </c>
      <c r="D134" s="164">
        <v>7.1900000000000006E-2</v>
      </c>
      <c r="E134" s="164">
        <v>0.1026</v>
      </c>
      <c r="F134" s="164">
        <v>0.29859999999999998</v>
      </c>
      <c r="G134" s="164">
        <v>0.2283</v>
      </c>
    </row>
    <row r="135" spans="1:7" x14ac:dyDescent="0.25">
      <c r="A135" s="141" t="s">
        <v>301</v>
      </c>
      <c r="B135" s="5"/>
      <c r="C135" s="164">
        <v>8.2400000000000001E-2</v>
      </c>
      <c r="D135" s="164">
        <v>6.4899999999999999E-2</v>
      </c>
      <c r="E135" s="164">
        <v>7.9500000000000001E-2</v>
      </c>
      <c r="F135" s="164">
        <v>0.32779999999999998</v>
      </c>
      <c r="G135" s="164">
        <v>0.15759999999999999</v>
      </c>
    </row>
    <row r="136" spans="1:7" x14ac:dyDescent="0.25">
      <c r="A136" s="142" t="s">
        <v>77</v>
      </c>
      <c r="B136" s="143"/>
      <c r="C136" s="144"/>
      <c r="D136" s="144"/>
      <c r="E136" s="144"/>
      <c r="F136" s="144"/>
      <c r="G136" s="159"/>
    </row>
    <row r="137" spans="1:7" x14ac:dyDescent="0.25">
      <c r="A137" s="141" t="s">
        <v>78</v>
      </c>
      <c r="B137" s="5"/>
      <c r="C137" s="165">
        <v>73.415841584158414</v>
      </c>
      <c r="D137" s="165">
        <v>-93.877551020408163</v>
      </c>
      <c r="E137" s="165">
        <v>9.3134715025906747</v>
      </c>
      <c r="F137" s="165">
        <v>2.2377985462097612</v>
      </c>
      <c r="G137" s="165">
        <v>-3.947467166979362</v>
      </c>
    </row>
    <row r="138" spans="1:7" x14ac:dyDescent="0.25">
      <c r="A138" s="141" t="s">
        <v>79</v>
      </c>
      <c r="B138" s="5"/>
      <c r="C138" s="165">
        <v>1.3250536097212295</v>
      </c>
      <c r="D138" s="165">
        <v>0.90178396392864146</v>
      </c>
      <c r="E138" s="165">
        <v>0.79167584232547905</v>
      </c>
      <c r="F138" s="165">
        <v>0.8323677095403631</v>
      </c>
      <c r="G138" s="165">
        <v>1.1339261654540556</v>
      </c>
    </row>
    <row r="139" spans="1:7" x14ac:dyDescent="0.25">
      <c r="A139" s="141" t="s">
        <v>331</v>
      </c>
      <c r="B139" s="5"/>
      <c r="C139" s="395">
        <v>1.6858642634886165E-2</v>
      </c>
      <c r="D139" s="395">
        <v>3.260825689139342E-2</v>
      </c>
      <c r="E139" s="395">
        <v>1.8546551924671761E-2</v>
      </c>
      <c r="F139" s="395">
        <v>0.17085013497986981</v>
      </c>
      <c r="G139" s="395">
        <v>2.3765016891652335E-2</v>
      </c>
    </row>
    <row r="140" spans="1:7" x14ac:dyDescent="0.25">
      <c r="A140" s="141" t="s">
        <v>332</v>
      </c>
      <c r="B140" s="5"/>
      <c r="C140" s="395">
        <v>1.2376914370067418</v>
      </c>
      <c r="D140" s="395">
        <v>-3.0611833000083624</v>
      </c>
      <c r="E140" s="395">
        <v>0.17273278282174867</v>
      </c>
      <c r="F140" s="395">
        <v>0.38232818367769411</v>
      </c>
      <c r="G140" s="395">
        <v>-9.3811623902507524E-2</v>
      </c>
    </row>
    <row r="141" spans="1:7" x14ac:dyDescent="0.25">
      <c r="A141" s="5" t="s">
        <v>333</v>
      </c>
      <c r="B141" s="5"/>
      <c r="C141" s="165">
        <v>0.80795582008583688</v>
      </c>
      <c r="D141" s="165">
        <v>-0.3266710621338057</v>
      </c>
      <c r="E141" s="165">
        <v>5.7892890027247947</v>
      </c>
      <c r="F141" s="165">
        <v>2.6155539735020121</v>
      </c>
      <c r="G141" s="165">
        <v>-10.659659841718938</v>
      </c>
    </row>
    <row r="142" spans="1:7" x14ac:dyDescent="0.25">
      <c r="A142" s="396" t="s">
        <v>195</v>
      </c>
      <c r="B142" s="319"/>
      <c r="C142" s="318">
        <v>9.74</v>
      </c>
      <c r="D142" s="318">
        <v>5.73</v>
      </c>
      <c r="E142" s="318">
        <v>5.63</v>
      </c>
      <c r="F142" s="318">
        <v>1.17</v>
      </c>
      <c r="G142" s="318">
        <v>3.94</v>
      </c>
    </row>
  </sheetData>
  <mergeCells count="7">
    <mergeCell ref="A2:G2"/>
    <mergeCell ref="A108:G108"/>
    <mergeCell ref="A3:G3"/>
    <mergeCell ref="A4:G4"/>
    <mergeCell ref="A61:G61"/>
    <mergeCell ref="A62:G62"/>
    <mergeCell ref="A97:G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51A8-C1C4-4716-B8B7-50BB931EA1AF}">
  <dimension ref="A1:X122"/>
  <sheetViews>
    <sheetView topLeftCell="A88" zoomScale="73" workbookViewId="0">
      <selection activeCell="G104" sqref="G104"/>
    </sheetView>
  </sheetViews>
  <sheetFormatPr defaultRowHeight="15" x14ac:dyDescent="0.25"/>
  <cols>
    <col min="1" max="1" width="35.28515625" customWidth="1"/>
    <col min="2" max="2" width="14.7109375" customWidth="1"/>
    <col min="3" max="3" width="14.140625" customWidth="1"/>
    <col min="4" max="4" width="14.5703125" customWidth="1"/>
    <col min="5" max="5" width="15.42578125" customWidth="1"/>
    <col min="6" max="6" width="14.85546875" customWidth="1"/>
    <col min="7" max="7" width="13.5703125" customWidth="1"/>
    <col min="8" max="9" width="12.7109375" bestFit="1" customWidth="1"/>
    <col min="10" max="10" width="15.28515625" customWidth="1"/>
  </cols>
  <sheetData>
    <row r="1" spans="1:24" ht="24" thickBot="1" x14ac:dyDescent="0.4">
      <c r="A1" s="496" t="s">
        <v>238</v>
      </c>
      <c r="B1" s="496"/>
      <c r="C1" s="496"/>
      <c r="D1" s="496"/>
      <c r="E1" s="496"/>
      <c r="F1" s="496"/>
      <c r="G1" s="496"/>
      <c r="H1" s="496"/>
      <c r="I1" s="496"/>
      <c r="J1" s="496"/>
      <c r="K1" s="391" t="s">
        <v>321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</row>
    <row r="2" spans="1:24" ht="23.25" x14ac:dyDescent="0.35">
      <c r="A2" s="496" t="s">
        <v>1</v>
      </c>
      <c r="B2" s="496"/>
      <c r="C2" s="496"/>
      <c r="D2" s="496"/>
      <c r="E2" s="496"/>
      <c r="F2" s="496"/>
      <c r="G2" s="496"/>
      <c r="H2" s="496"/>
      <c r="I2" s="496"/>
      <c r="J2" s="496"/>
    </row>
    <row r="3" spans="1:24" ht="23.25" x14ac:dyDescent="0.35">
      <c r="A3" s="496" t="s">
        <v>43</v>
      </c>
      <c r="B3" s="496"/>
      <c r="C3" s="496"/>
      <c r="D3" s="496"/>
      <c r="E3" s="496"/>
      <c r="F3" s="496"/>
      <c r="G3" s="496"/>
      <c r="H3" s="497"/>
      <c r="I3" s="496"/>
      <c r="J3" s="496"/>
    </row>
    <row r="4" spans="1:24" ht="15.75" x14ac:dyDescent="0.25">
      <c r="A4" s="495" t="s">
        <v>209</v>
      </c>
      <c r="B4" s="495"/>
      <c r="C4" s="495"/>
      <c r="D4" s="91" t="s">
        <v>210</v>
      </c>
      <c r="E4" s="93"/>
      <c r="F4" s="93">
        <v>2020</v>
      </c>
      <c r="G4" s="89">
        <v>2021</v>
      </c>
      <c r="H4" s="93">
        <v>2022</v>
      </c>
      <c r="I4" s="390">
        <v>2023</v>
      </c>
      <c r="J4" s="93">
        <v>2024</v>
      </c>
    </row>
    <row r="5" spans="1:24" ht="15.75" x14ac:dyDescent="0.25">
      <c r="A5" s="271" t="s">
        <v>10</v>
      </c>
      <c r="B5" s="273"/>
      <c r="C5" s="272"/>
      <c r="D5" s="88"/>
      <c r="E5" s="88"/>
      <c r="F5" s="88"/>
      <c r="G5" s="88"/>
      <c r="H5" s="389"/>
      <c r="I5" s="88"/>
      <c r="J5" s="88"/>
    </row>
    <row r="6" spans="1:24" ht="15.75" x14ac:dyDescent="0.25">
      <c r="A6" s="489" t="s">
        <v>239</v>
      </c>
      <c r="B6" s="489"/>
      <c r="C6" s="489"/>
      <c r="D6" s="92"/>
      <c r="E6" s="137"/>
      <c r="F6" s="137">
        <v>424564</v>
      </c>
      <c r="G6" s="137">
        <v>491515</v>
      </c>
      <c r="H6" s="371">
        <v>544413</v>
      </c>
      <c r="I6" s="137">
        <v>649745</v>
      </c>
      <c r="J6" s="137">
        <v>589278</v>
      </c>
    </row>
    <row r="7" spans="1:24" ht="15.75" x14ac:dyDescent="0.25">
      <c r="A7" s="489" t="s">
        <v>211</v>
      </c>
      <c r="B7" s="489"/>
      <c r="C7" s="489"/>
      <c r="D7" s="92"/>
      <c r="E7" s="137"/>
      <c r="F7" s="137">
        <v>1181207</v>
      </c>
      <c r="G7" s="137">
        <v>1871492</v>
      </c>
      <c r="H7" s="371">
        <v>3351333</v>
      </c>
      <c r="I7" s="137">
        <v>4254523</v>
      </c>
      <c r="J7" s="137">
        <v>4533252</v>
      </c>
    </row>
    <row r="8" spans="1:24" ht="15.75" x14ac:dyDescent="0.25">
      <c r="A8" s="489" t="s">
        <v>240</v>
      </c>
      <c r="B8" s="489"/>
      <c r="C8" s="489"/>
      <c r="D8" s="92"/>
      <c r="E8" s="137"/>
      <c r="F8" s="137">
        <v>461688</v>
      </c>
      <c r="G8" s="137">
        <v>390866</v>
      </c>
      <c r="H8" s="371">
        <v>571334</v>
      </c>
      <c r="I8" s="137">
        <v>405286</v>
      </c>
      <c r="J8" s="137">
        <v>600558</v>
      </c>
    </row>
    <row r="9" spans="1:24" ht="15.75" x14ac:dyDescent="0.25">
      <c r="A9" s="489" t="s">
        <v>14</v>
      </c>
      <c r="B9" s="489"/>
      <c r="C9" s="489"/>
      <c r="D9" s="92"/>
      <c r="E9" s="137"/>
      <c r="F9" s="137">
        <v>71382</v>
      </c>
      <c r="G9" s="137">
        <v>121762</v>
      </c>
      <c r="H9" s="371">
        <v>133572</v>
      </c>
      <c r="I9" s="137">
        <v>138479</v>
      </c>
      <c r="J9" s="137">
        <v>163148</v>
      </c>
    </row>
    <row r="10" spans="1:24" ht="15.75" x14ac:dyDescent="0.25">
      <c r="A10" s="489" t="s">
        <v>241</v>
      </c>
      <c r="B10" s="489"/>
      <c r="C10" s="489"/>
      <c r="D10" s="92"/>
      <c r="E10" s="137"/>
      <c r="F10" s="137">
        <v>9811</v>
      </c>
      <c r="G10" s="137">
        <v>6772</v>
      </c>
      <c r="H10" s="371">
        <v>4642</v>
      </c>
      <c r="I10" s="137">
        <v>10601</v>
      </c>
      <c r="J10" s="137">
        <v>11895</v>
      </c>
    </row>
    <row r="11" spans="1:24" ht="15.75" x14ac:dyDescent="0.25">
      <c r="A11" s="489" t="s">
        <v>138</v>
      </c>
      <c r="B11" s="489"/>
      <c r="C11" s="489"/>
      <c r="D11" s="92"/>
      <c r="E11" s="137"/>
      <c r="F11" s="137">
        <v>335921</v>
      </c>
      <c r="G11" s="137">
        <v>184245</v>
      </c>
      <c r="H11" s="371">
        <v>180797</v>
      </c>
      <c r="I11" s="137">
        <v>190139</v>
      </c>
      <c r="J11" s="137">
        <v>232621</v>
      </c>
    </row>
    <row r="12" spans="1:24" ht="15.75" x14ac:dyDescent="0.25">
      <c r="A12" s="94" t="s">
        <v>242</v>
      </c>
      <c r="B12" s="274"/>
      <c r="C12" s="95"/>
      <c r="D12" s="92"/>
      <c r="E12" s="137"/>
      <c r="F12" s="137">
        <v>0</v>
      </c>
      <c r="G12" s="137">
        <v>0</v>
      </c>
      <c r="H12" s="371">
        <v>82450</v>
      </c>
      <c r="I12" s="137">
        <v>102894</v>
      </c>
      <c r="J12" s="137">
        <v>3229</v>
      </c>
    </row>
    <row r="13" spans="1:24" ht="15.75" x14ac:dyDescent="0.25">
      <c r="A13" s="489" t="s">
        <v>243</v>
      </c>
      <c r="B13" s="489"/>
      <c r="C13" s="489"/>
      <c r="D13" s="92"/>
      <c r="E13" s="137"/>
      <c r="F13" s="137">
        <v>153633</v>
      </c>
      <c r="G13" s="137">
        <v>213560</v>
      </c>
      <c r="H13" s="371">
        <v>294160</v>
      </c>
      <c r="I13" s="137">
        <v>329659</v>
      </c>
      <c r="J13" s="137">
        <v>355154</v>
      </c>
    </row>
    <row r="14" spans="1:24" ht="15.75" x14ac:dyDescent="0.25">
      <c r="A14" s="489" t="s">
        <v>20</v>
      </c>
      <c r="B14" s="489"/>
      <c r="C14" s="489"/>
      <c r="D14" s="92"/>
      <c r="E14" s="137"/>
      <c r="F14" s="137">
        <v>387058</v>
      </c>
      <c r="G14" s="137">
        <v>231482</v>
      </c>
      <c r="H14" s="371">
        <v>253552</v>
      </c>
      <c r="I14" s="137">
        <v>179359</v>
      </c>
      <c r="J14" s="137">
        <v>503455</v>
      </c>
    </row>
    <row r="15" spans="1:24" ht="15.75" x14ac:dyDescent="0.25">
      <c r="A15" s="285" t="s">
        <v>244</v>
      </c>
      <c r="B15" s="278"/>
      <c r="C15" s="279"/>
      <c r="D15" s="92"/>
      <c r="E15" s="280"/>
      <c r="F15" s="280">
        <v>3025264</v>
      </c>
      <c r="G15" s="280">
        <v>3511694</v>
      </c>
      <c r="H15" s="280">
        <v>5416253</v>
      </c>
      <c r="I15" s="280">
        <v>6260685</v>
      </c>
      <c r="J15" s="280">
        <v>6992590</v>
      </c>
    </row>
    <row r="16" spans="1:24" ht="15.75" x14ac:dyDescent="0.25">
      <c r="A16" s="281" t="s">
        <v>245</v>
      </c>
      <c r="B16" s="282"/>
      <c r="C16" s="283"/>
      <c r="D16" s="284"/>
      <c r="E16" s="284"/>
      <c r="F16" s="284"/>
      <c r="G16" s="284"/>
      <c r="H16" s="388"/>
      <c r="I16" s="284"/>
      <c r="J16" s="284"/>
    </row>
    <row r="17" spans="1:10" ht="15.75" x14ac:dyDescent="0.25">
      <c r="A17" s="489" t="s">
        <v>212</v>
      </c>
      <c r="B17" s="489"/>
      <c r="C17" s="489"/>
      <c r="D17" s="92"/>
      <c r="E17" s="137"/>
      <c r="F17" s="137">
        <v>4906966</v>
      </c>
      <c r="G17" s="137">
        <v>4839744</v>
      </c>
      <c r="H17" s="371">
        <v>4913855</v>
      </c>
      <c r="I17" s="137">
        <v>9658817</v>
      </c>
      <c r="J17" s="137">
        <v>9353096</v>
      </c>
    </row>
    <row r="18" spans="1:10" ht="15.75" x14ac:dyDescent="0.25">
      <c r="A18" s="94" t="s">
        <v>5</v>
      </c>
      <c r="B18" s="274"/>
      <c r="C18" s="95"/>
      <c r="D18" s="92"/>
      <c r="E18" s="92"/>
      <c r="F18" s="137">
        <v>17781</v>
      </c>
      <c r="G18" s="137">
        <v>10605</v>
      </c>
      <c r="H18" s="371">
        <v>3429</v>
      </c>
      <c r="I18" s="137">
        <v>19364</v>
      </c>
      <c r="J18" s="137">
        <v>11597</v>
      </c>
    </row>
    <row r="19" spans="1:10" ht="15.75" x14ac:dyDescent="0.25">
      <c r="A19" s="489" t="s">
        <v>246</v>
      </c>
      <c r="B19" s="489"/>
      <c r="C19" s="489"/>
      <c r="D19" s="92"/>
      <c r="E19" s="137"/>
      <c r="F19" s="137">
        <v>2839</v>
      </c>
      <c r="G19" s="92">
        <v>0</v>
      </c>
      <c r="H19" s="371">
        <v>1335</v>
      </c>
      <c r="I19" s="92">
        <v>835</v>
      </c>
      <c r="J19" s="137">
        <v>1510</v>
      </c>
    </row>
    <row r="20" spans="1:10" ht="15.75" x14ac:dyDescent="0.25">
      <c r="A20" s="489" t="s">
        <v>247</v>
      </c>
      <c r="B20" s="489"/>
      <c r="C20" s="489"/>
      <c r="D20" s="92"/>
      <c r="E20" s="137"/>
      <c r="F20" s="137">
        <v>747755</v>
      </c>
      <c r="G20" s="137">
        <v>729327</v>
      </c>
      <c r="H20" s="371">
        <v>940863</v>
      </c>
      <c r="I20" s="137">
        <v>2160113</v>
      </c>
      <c r="J20" s="137">
        <v>1832533</v>
      </c>
    </row>
    <row r="21" spans="1:10" ht="15.75" x14ac:dyDescent="0.25">
      <c r="A21" s="489" t="s">
        <v>248</v>
      </c>
      <c r="B21" s="489"/>
      <c r="C21" s="489"/>
      <c r="D21" s="92"/>
      <c r="E21" s="137"/>
      <c r="F21" s="137">
        <v>1737</v>
      </c>
      <c r="G21" s="137">
        <v>4771</v>
      </c>
      <c r="H21" s="371">
        <v>4305</v>
      </c>
      <c r="I21" s="137">
        <v>8047</v>
      </c>
      <c r="J21" s="137">
        <v>6464</v>
      </c>
    </row>
    <row r="22" spans="1:10" ht="15.75" x14ac:dyDescent="0.25">
      <c r="A22" s="489" t="s">
        <v>249</v>
      </c>
      <c r="B22" s="489"/>
      <c r="C22" s="489"/>
      <c r="D22" s="92"/>
      <c r="E22" s="137"/>
      <c r="F22" s="137">
        <v>4268</v>
      </c>
      <c r="G22" s="137">
        <v>4268</v>
      </c>
      <c r="H22" s="371">
        <v>5538</v>
      </c>
      <c r="I22" s="137">
        <v>5563</v>
      </c>
      <c r="J22" s="137">
        <v>5510</v>
      </c>
    </row>
    <row r="23" spans="1:10" ht="15.75" x14ac:dyDescent="0.25">
      <c r="A23" s="487" t="s">
        <v>250</v>
      </c>
      <c r="B23" s="487"/>
      <c r="C23" s="487"/>
      <c r="D23" s="92"/>
      <c r="E23" s="280"/>
      <c r="F23" s="280">
        <v>5681346</v>
      </c>
      <c r="G23" s="280">
        <v>5588715</v>
      </c>
      <c r="H23" s="280">
        <v>5869325</v>
      </c>
      <c r="I23" s="280">
        <v>11852739</v>
      </c>
      <c r="J23" s="280">
        <v>11210710</v>
      </c>
    </row>
    <row r="24" spans="1:10" ht="15.75" x14ac:dyDescent="0.25">
      <c r="A24" s="488" t="s">
        <v>22</v>
      </c>
      <c r="B24" s="488"/>
      <c r="C24" s="488"/>
      <c r="D24" s="284"/>
      <c r="E24" s="286"/>
      <c r="F24" s="286">
        <v>8706610</v>
      </c>
      <c r="G24" s="286">
        <v>9100409</v>
      </c>
      <c r="H24" s="368">
        <v>11285578</v>
      </c>
      <c r="I24" s="286">
        <v>18113424</v>
      </c>
      <c r="J24" s="286">
        <v>18203300</v>
      </c>
    </row>
    <row r="25" spans="1:10" ht="15.75" x14ac:dyDescent="0.25">
      <c r="A25" s="271" t="s">
        <v>289</v>
      </c>
      <c r="B25" s="273"/>
      <c r="C25" s="272"/>
      <c r="D25" s="88"/>
      <c r="E25" s="288"/>
      <c r="F25" s="288"/>
      <c r="G25" s="377"/>
      <c r="H25" s="375"/>
      <c r="I25" s="383"/>
      <c r="J25" s="288"/>
    </row>
    <row r="26" spans="1:10" ht="15.75" x14ac:dyDescent="0.25">
      <c r="A26" s="281" t="s">
        <v>33</v>
      </c>
      <c r="B26" s="282"/>
      <c r="C26" s="287"/>
      <c r="D26" s="284"/>
      <c r="E26" s="284"/>
      <c r="F26" s="284"/>
      <c r="G26" s="378"/>
      <c r="H26" s="388" t="s">
        <v>210</v>
      </c>
      <c r="I26" s="287"/>
      <c r="J26" s="284"/>
    </row>
    <row r="27" spans="1:10" ht="15.75" x14ac:dyDescent="0.25">
      <c r="A27" s="489" t="s">
        <v>34</v>
      </c>
      <c r="B27" s="489"/>
      <c r="C27" s="489"/>
      <c r="D27" s="92"/>
      <c r="E27" s="137"/>
      <c r="F27" s="137">
        <v>1355959</v>
      </c>
      <c r="G27" s="379">
        <v>946429</v>
      </c>
      <c r="H27" s="371">
        <v>1424245</v>
      </c>
      <c r="I27" s="384">
        <v>3664766</v>
      </c>
      <c r="J27" s="137">
        <v>1428344</v>
      </c>
    </row>
    <row r="28" spans="1:10" ht="15.75" x14ac:dyDescent="0.25">
      <c r="A28" s="489" t="s">
        <v>251</v>
      </c>
      <c r="B28" s="489"/>
      <c r="C28" s="489"/>
      <c r="D28" s="92"/>
      <c r="E28" s="137"/>
      <c r="F28" s="137">
        <v>46454</v>
      </c>
      <c r="G28" s="379">
        <v>41775</v>
      </c>
      <c r="H28" s="371">
        <v>146236</v>
      </c>
      <c r="I28" s="384">
        <v>208513</v>
      </c>
      <c r="J28" s="137">
        <v>328544</v>
      </c>
    </row>
    <row r="29" spans="1:10" ht="15.75" x14ac:dyDescent="0.25">
      <c r="A29" s="489" t="s">
        <v>252</v>
      </c>
      <c r="B29" s="489"/>
      <c r="C29" s="489"/>
      <c r="D29" s="92"/>
      <c r="E29" s="137"/>
      <c r="F29" s="137">
        <v>402138</v>
      </c>
      <c r="G29" s="379">
        <v>1364840</v>
      </c>
      <c r="H29" s="371">
        <v>2658448</v>
      </c>
      <c r="I29" s="384">
        <v>1905016</v>
      </c>
      <c r="J29" s="137">
        <v>5098036</v>
      </c>
    </row>
    <row r="30" spans="1:10" ht="15.75" x14ac:dyDescent="0.25">
      <c r="A30" s="489" t="s">
        <v>253</v>
      </c>
      <c r="B30" s="489"/>
      <c r="C30" s="489"/>
      <c r="D30" s="92"/>
      <c r="E30" s="137"/>
      <c r="F30" s="137">
        <v>6413</v>
      </c>
      <c r="G30" s="379">
        <v>7140</v>
      </c>
      <c r="H30" s="371">
        <v>8221</v>
      </c>
      <c r="I30" s="384">
        <v>10101</v>
      </c>
      <c r="J30" s="137">
        <v>11578</v>
      </c>
    </row>
    <row r="31" spans="1:10" ht="15.75" x14ac:dyDescent="0.25">
      <c r="A31" s="489" t="s">
        <v>254</v>
      </c>
      <c r="B31" s="489"/>
      <c r="C31" s="489"/>
      <c r="D31" s="92"/>
      <c r="E31" s="137"/>
      <c r="F31" s="137">
        <v>406875</v>
      </c>
      <c r="G31" s="379">
        <v>701667</v>
      </c>
      <c r="H31" s="371">
        <v>831045</v>
      </c>
      <c r="I31" s="384">
        <v>942065</v>
      </c>
      <c r="J31" s="137">
        <v>450399</v>
      </c>
    </row>
    <row r="32" spans="1:10" ht="15.75" x14ac:dyDescent="0.25">
      <c r="A32" s="489" t="s">
        <v>255</v>
      </c>
      <c r="B32" s="489"/>
      <c r="C32" s="489"/>
      <c r="D32" s="92"/>
      <c r="E32" s="92"/>
      <c r="F32" s="137">
        <v>10208</v>
      </c>
      <c r="G32" s="379">
        <v>4533</v>
      </c>
      <c r="H32" s="371">
        <v>712</v>
      </c>
      <c r="I32" s="384">
        <v>6465</v>
      </c>
      <c r="J32" s="137">
        <v>9526</v>
      </c>
    </row>
    <row r="33" spans="1:10" ht="15.75" x14ac:dyDescent="0.25">
      <c r="A33" s="487" t="s">
        <v>213</v>
      </c>
      <c r="B33" s="487"/>
      <c r="C33" s="487"/>
      <c r="D33" s="92"/>
      <c r="E33" s="280"/>
      <c r="F33" s="280">
        <v>2228047</v>
      </c>
      <c r="G33" s="380">
        <v>3066384</v>
      </c>
      <c r="H33" s="280">
        <v>5068907</v>
      </c>
      <c r="I33" s="385">
        <v>6736926</v>
      </c>
      <c r="J33" s="280">
        <v>7326427</v>
      </c>
    </row>
    <row r="34" spans="1:10" ht="15.75" x14ac:dyDescent="0.25">
      <c r="A34" s="289" t="s">
        <v>214</v>
      </c>
      <c r="B34" s="290"/>
      <c r="C34" s="291"/>
      <c r="D34" s="88"/>
      <c r="E34" s="88"/>
      <c r="F34" s="88"/>
      <c r="G34" s="381"/>
      <c r="H34" s="389"/>
      <c r="I34" s="386"/>
      <c r="J34" s="88"/>
    </row>
    <row r="35" spans="1:10" ht="15.75" x14ac:dyDescent="0.25">
      <c r="A35" s="489" t="s">
        <v>256</v>
      </c>
      <c r="B35" s="489"/>
      <c r="C35" s="489"/>
      <c r="D35" s="92"/>
      <c r="E35" s="137"/>
      <c r="F35" s="137">
        <v>2685000</v>
      </c>
      <c r="G35" s="379">
        <v>2001907</v>
      </c>
      <c r="H35" s="371">
        <v>2228857</v>
      </c>
      <c r="I35" s="384">
        <v>1786793</v>
      </c>
      <c r="J35" s="137">
        <v>1737645</v>
      </c>
    </row>
    <row r="36" spans="1:10" ht="15.75" x14ac:dyDescent="0.25">
      <c r="A36" s="489" t="s">
        <v>95</v>
      </c>
      <c r="B36" s="489"/>
      <c r="C36" s="489"/>
      <c r="D36" s="92"/>
      <c r="E36" s="137"/>
      <c r="F36" s="92">
        <v>0</v>
      </c>
      <c r="G36" s="94">
        <v>0</v>
      </c>
      <c r="H36" s="371">
        <v>0</v>
      </c>
      <c r="I36" s="95">
        <v>0</v>
      </c>
      <c r="J36" s="92">
        <v>0</v>
      </c>
    </row>
    <row r="37" spans="1:10" ht="15.75" x14ac:dyDescent="0.25">
      <c r="A37" s="489" t="s">
        <v>257</v>
      </c>
      <c r="B37" s="489"/>
      <c r="C37" s="489"/>
      <c r="D37" s="92"/>
      <c r="E37" s="92"/>
      <c r="F37" s="137">
        <v>5245</v>
      </c>
      <c r="G37" s="94">
        <v>712</v>
      </c>
      <c r="H37" s="371">
        <v>0</v>
      </c>
      <c r="I37" s="384">
        <v>10970</v>
      </c>
      <c r="J37" s="137">
        <v>1444</v>
      </c>
    </row>
    <row r="38" spans="1:10" ht="15.75" x14ac:dyDescent="0.25">
      <c r="A38" s="489" t="s">
        <v>258</v>
      </c>
      <c r="B38" s="489"/>
      <c r="C38" s="489"/>
      <c r="D38" s="92"/>
      <c r="E38" s="92"/>
      <c r="F38" s="137">
        <v>516129</v>
      </c>
      <c r="G38" s="379">
        <v>609631</v>
      </c>
      <c r="H38" s="371">
        <v>526342</v>
      </c>
      <c r="I38" s="384">
        <v>1894771</v>
      </c>
      <c r="J38" s="137">
        <v>2115302</v>
      </c>
    </row>
    <row r="39" spans="1:10" ht="15.75" x14ac:dyDescent="0.25">
      <c r="A39" s="487" t="s">
        <v>215</v>
      </c>
      <c r="B39" s="487"/>
      <c r="C39" s="487"/>
      <c r="D39" s="92"/>
      <c r="E39" s="280"/>
      <c r="F39" s="280">
        <v>3206374</v>
      </c>
      <c r="G39" s="380">
        <v>2612250</v>
      </c>
      <c r="H39" s="280">
        <v>2755199</v>
      </c>
      <c r="I39" s="385">
        <v>3692534</v>
      </c>
      <c r="J39" s="280">
        <v>3854391</v>
      </c>
    </row>
    <row r="40" spans="1:10" ht="15.75" x14ac:dyDescent="0.25">
      <c r="A40" s="488" t="s">
        <v>216</v>
      </c>
      <c r="B40" s="488"/>
      <c r="C40" s="488"/>
      <c r="D40" s="284"/>
      <c r="E40" s="286"/>
      <c r="F40" s="286">
        <v>5434421</v>
      </c>
      <c r="G40" s="382">
        <v>5678634</v>
      </c>
      <c r="H40" s="286">
        <v>7824106</v>
      </c>
      <c r="I40" s="387">
        <v>10429460</v>
      </c>
      <c r="J40" s="286">
        <v>11180818</v>
      </c>
    </row>
    <row r="41" spans="1:10" ht="15.75" x14ac:dyDescent="0.25">
      <c r="A41" s="89" t="s">
        <v>24</v>
      </c>
      <c r="B41" s="292"/>
      <c r="C41" s="90"/>
      <c r="D41" s="91"/>
      <c r="E41" s="91"/>
      <c r="F41" s="91"/>
      <c r="G41" s="91"/>
      <c r="H41" s="376"/>
      <c r="I41" s="91"/>
      <c r="J41" s="91"/>
    </row>
    <row r="42" spans="1:10" ht="15.75" x14ac:dyDescent="0.25">
      <c r="A42" s="487" t="s">
        <v>259</v>
      </c>
      <c r="B42" s="487"/>
      <c r="C42" s="487"/>
      <c r="D42" s="92"/>
      <c r="E42" s="92"/>
      <c r="F42" s="92"/>
      <c r="G42" s="374"/>
      <c r="H42" s="370"/>
      <c r="I42" s="374"/>
      <c r="J42" s="92"/>
    </row>
    <row r="43" spans="1:10" ht="15.75" x14ac:dyDescent="0.25">
      <c r="A43" s="517" t="s">
        <v>260</v>
      </c>
      <c r="B43" s="517"/>
      <c r="C43" s="517"/>
      <c r="D43" s="92"/>
      <c r="E43" s="92"/>
      <c r="F43" s="92">
        <v>500000</v>
      </c>
      <c r="G43" s="92">
        <v>500000</v>
      </c>
      <c r="H43" s="371">
        <v>500000</v>
      </c>
      <c r="I43" s="92">
        <v>500000</v>
      </c>
      <c r="J43" s="92">
        <v>500000</v>
      </c>
    </row>
    <row r="44" spans="1:10" ht="15.75" x14ac:dyDescent="0.25">
      <c r="A44" s="489" t="s">
        <v>261</v>
      </c>
      <c r="B44" s="489"/>
      <c r="C44" s="489"/>
      <c r="D44" s="92"/>
      <c r="E44" s="137"/>
      <c r="F44" s="137">
        <v>204737</v>
      </c>
      <c r="G44" s="137">
        <v>204737</v>
      </c>
      <c r="H44" s="372">
        <v>204737</v>
      </c>
      <c r="I44" s="137">
        <v>204737</v>
      </c>
      <c r="J44" s="137">
        <v>204737</v>
      </c>
    </row>
    <row r="45" spans="1:10" ht="15.75" x14ac:dyDescent="0.25">
      <c r="A45" s="512" t="s">
        <v>262</v>
      </c>
      <c r="B45" s="512"/>
      <c r="C45" s="512"/>
      <c r="D45" s="92"/>
      <c r="E45" s="137"/>
      <c r="F45" s="137"/>
      <c r="G45" s="137"/>
      <c r="H45" s="372"/>
      <c r="I45" s="137"/>
      <c r="J45" s="137"/>
    </row>
    <row r="46" spans="1:10" ht="15.75" x14ac:dyDescent="0.25">
      <c r="A46" s="511" t="s">
        <v>263</v>
      </c>
      <c r="B46" s="511"/>
      <c r="C46" s="511"/>
      <c r="D46" s="92"/>
      <c r="E46" s="137"/>
      <c r="F46" s="137">
        <v>1000000</v>
      </c>
      <c r="G46" s="137">
        <v>1000000</v>
      </c>
      <c r="H46" s="372">
        <v>1000000</v>
      </c>
      <c r="I46" s="137">
        <v>1000000</v>
      </c>
      <c r="J46" s="137">
        <v>1000000</v>
      </c>
    </row>
    <row r="47" spans="1:10" ht="15.75" x14ac:dyDescent="0.25">
      <c r="A47" s="511" t="s">
        <v>264</v>
      </c>
      <c r="B47" s="511"/>
      <c r="C47" s="511"/>
      <c r="D47" s="92"/>
      <c r="E47" s="137"/>
      <c r="F47" s="137">
        <v>705809</v>
      </c>
      <c r="G47" s="137">
        <v>916054</v>
      </c>
      <c r="H47" s="372">
        <v>1071054</v>
      </c>
      <c r="I47" s="137">
        <v>1314719</v>
      </c>
      <c r="J47" s="137">
        <v>1323112</v>
      </c>
    </row>
    <row r="48" spans="1:10" ht="15.75" x14ac:dyDescent="0.25">
      <c r="A48" s="513" t="s">
        <v>265</v>
      </c>
      <c r="B48" s="513"/>
      <c r="C48" s="513"/>
      <c r="D48" s="92"/>
      <c r="E48" s="137"/>
      <c r="F48" s="137">
        <v>-2714</v>
      </c>
      <c r="G48" s="137">
        <v>-2596</v>
      </c>
      <c r="H48" s="372">
        <v>-2413</v>
      </c>
      <c r="I48" s="137">
        <v>-2484</v>
      </c>
      <c r="J48" s="137">
        <v>-2225</v>
      </c>
    </row>
    <row r="49" spans="1:10" ht="15.75" x14ac:dyDescent="0.25">
      <c r="A49" s="512" t="s">
        <v>266</v>
      </c>
      <c r="B49" s="512"/>
      <c r="C49" s="512"/>
      <c r="D49" s="92"/>
      <c r="E49" s="137"/>
      <c r="F49" s="137"/>
      <c r="G49" s="137"/>
      <c r="H49" s="372"/>
      <c r="I49" s="137"/>
      <c r="J49" s="137"/>
    </row>
    <row r="50" spans="1:10" ht="15.75" x14ac:dyDescent="0.25">
      <c r="A50" s="511" t="s">
        <v>267</v>
      </c>
      <c r="B50" s="511"/>
      <c r="C50" s="511"/>
      <c r="D50" s="92"/>
      <c r="E50" s="137"/>
      <c r="F50" s="137">
        <v>1364357</v>
      </c>
      <c r="G50" s="369">
        <v>1303580</v>
      </c>
      <c r="H50" s="372">
        <v>1188094</v>
      </c>
      <c r="I50" s="369">
        <v>5166992</v>
      </c>
      <c r="J50" s="137">
        <v>4496858</v>
      </c>
    </row>
    <row r="51" spans="1:10" ht="15.75" x14ac:dyDescent="0.25">
      <c r="A51" s="281" t="s">
        <v>217</v>
      </c>
      <c r="B51" s="282"/>
      <c r="C51" s="287"/>
      <c r="D51" s="284"/>
      <c r="E51" s="286"/>
      <c r="F51" s="286">
        <v>3272189</v>
      </c>
      <c r="G51" s="286">
        <v>3421775</v>
      </c>
      <c r="H51" s="286">
        <v>3461472</v>
      </c>
      <c r="I51" s="286">
        <v>7683964</v>
      </c>
      <c r="J51" s="286">
        <v>7022482</v>
      </c>
    </row>
    <row r="52" spans="1:10" ht="16.5" thickBot="1" x14ac:dyDescent="0.3">
      <c r="A52" s="518" t="s">
        <v>268</v>
      </c>
      <c r="B52" s="518"/>
      <c r="C52" s="518"/>
      <c r="D52" s="88"/>
      <c r="E52" s="288"/>
      <c r="F52" s="288">
        <v>8706610</v>
      </c>
      <c r="G52" s="367">
        <v>9100409</v>
      </c>
      <c r="H52" s="373">
        <v>11285578</v>
      </c>
      <c r="I52" s="367">
        <v>18113424</v>
      </c>
      <c r="J52" s="288">
        <v>18203300</v>
      </c>
    </row>
    <row r="53" spans="1:10" ht="14.25" customHeight="1" x14ac:dyDescent="0.25">
      <c r="A53" s="61"/>
      <c r="B53" s="61"/>
      <c r="C53" s="61"/>
      <c r="D53" s="61"/>
      <c r="E53" s="61"/>
      <c r="F53" s="61"/>
      <c r="G53" s="61"/>
      <c r="I53" s="61"/>
      <c r="J53" s="61"/>
    </row>
    <row r="54" spans="1:1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</row>
    <row r="55" spans="1:10" ht="15.75" thickBot="1" x14ac:dyDescent="0.3">
      <c r="A55" s="61"/>
      <c r="B55" s="61"/>
      <c r="C55" s="61"/>
      <c r="D55" s="61"/>
      <c r="E55" s="61"/>
      <c r="F55" s="61"/>
      <c r="G55" s="61"/>
      <c r="H55" s="61"/>
      <c r="I55" s="61"/>
      <c r="J55" s="61"/>
    </row>
    <row r="56" spans="1:10" ht="23.25" x14ac:dyDescent="0.35">
      <c r="A56" s="514" t="s">
        <v>269</v>
      </c>
      <c r="B56" s="515"/>
      <c r="C56" s="515"/>
      <c r="D56" s="515"/>
      <c r="E56" s="515"/>
      <c r="F56" s="515"/>
      <c r="G56" s="515"/>
      <c r="H56" s="515"/>
      <c r="I56" s="515"/>
      <c r="J56" s="516"/>
    </row>
    <row r="57" spans="1:10" ht="24" thickBot="1" x14ac:dyDescent="0.4">
      <c r="A57" s="492" t="s">
        <v>219</v>
      </c>
      <c r="B57" s="493"/>
      <c r="C57" s="493"/>
      <c r="D57" s="493"/>
      <c r="E57" s="493"/>
      <c r="F57" s="493"/>
      <c r="G57" s="493"/>
      <c r="H57" s="493"/>
      <c r="I57" s="493"/>
      <c r="J57" s="494"/>
    </row>
    <row r="58" spans="1:10" ht="16.5" thickBot="1" x14ac:dyDescent="0.3">
      <c r="A58" s="506" t="s">
        <v>218</v>
      </c>
      <c r="B58" s="507"/>
      <c r="C58" s="508"/>
      <c r="D58" s="269"/>
      <c r="E58" s="270">
        <v>2019</v>
      </c>
      <c r="F58" s="270">
        <v>2020</v>
      </c>
      <c r="G58" s="270">
        <v>2021</v>
      </c>
      <c r="H58" s="270">
        <v>2022</v>
      </c>
      <c r="I58" s="270">
        <v>2023</v>
      </c>
      <c r="J58" s="270">
        <v>2024</v>
      </c>
    </row>
    <row r="59" spans="1:10" ht="15.75" x14ac:dyDescent="0.25">
      <c r="A59" s="490" t="s">
        <v>270</v>
      </c>
      <c r="B59" s="491"/>
      <c r="C59" s="491"/>
      <c r="D59" s="123"/>
      <c r="E59" s="125">
        <v>9340031</v>
      </c>
      <c r="F59" s="125">
        <v>10906700</v>
      </c>
      <c r="G59" s="125">
        <v>10791880</v>
      </c>
      <c r="H59" s="123">
        <v>10546358</v>
      </c>
      <c r="I59" s="125">
        <v>13122460</v>
      </c>
      <c r="J59" s="126">
        <v>20736291</v>
      </c>
    </row>
    <row r="60" spans="1:10" ht="15.75" x14ac:dyDescent="0.25">
      <c r="A60" s="490" t="s">
        <v>45</v>
      </c>
      <c r="B60" s="491"/>
      <c r="C60" s="491"/>
      <c r="D60" s="123"/>
      <c r="E60" s="125">
        <v>-8172919</v>
      </c>
      <c r="F60" s="125">
        <v>-9214432</v>
      </c>
      <c r="G60" s="125">
        <v>-9087207</v>
      </c>
      <c r="H60" s="123">
        <v>-9034810</v>
      </c>
      <c r="I60" s="125">
        <v>-11022278</v>
      </c>
      <c r="J60" s="126">
        <v>-17301610</v>
      </c>
    </row>
    <row r="61" spans="1:10" ht="15.75" x14ac:dyDescent="0.25">
      <c r="A61" s="509" t="s">
        <v>271</v>
      </c>
      <c r="B61" s="510"/>
      <c r="C61" s="510"/>
      <c r="D61" s="268"/>
      <c r="E61" s="293">
        <v>1167112</v>
      </c>
      <c r="F61" s="293">
        <v>1692268</v>
      </c>
      <c r="G61" s="293">
        <v>1704673</v>
      </c>
      <c r="H61" s="267">
        <v>1511548</v>
      </c>
      <c r="I61" s="293">
        <v>2100182</v>
      </c>
      <c r="J61" s="294">
        <v>3434681</v>
      </c>
    </row>
    <row r="62" spans="1:10" ht="15.75" x14ac:dyDescent="0.25">
      <c r="A62" s="490" t="s">
        <v>272</v>
      </c>
      <c r="B62" s="491"/>
      <c r="C62" s="491"/>
      <c r="D62" s="123"/>
      <c r="E62" s="123">
        <v>0</v>
      </c>
      <c r="F62" s="123">
        <v>301</v>
      </c>
      <c r="G62" s="123">
        <v>700</v>
      </c>
      <c r="H62" s="123">
        <v>4737</v>
      </c>
      <c r="I62" s="123">
        <v>0</v>
      </c>
      <c r="J62" s="124">
        <v>0</v>
      </c>
    </row>
    <row r="63" spans="1:10" ht="15.75" x14ac:dyDescent="0.25">
      <c r="A63" s="490" t="s">
        <v>273</v>
      </c>
      <c r="B63" s="491"/>
      <c r="C63" s="491"/>
      <c r="D63" s="123"/>
      <c r="E63" s="123"/>
      <c r="F63" s="123"/>
      <c r="G63" s="123"/>
      <c r="H63" s="123"/>
      <c r="I63" s="123"/>
      <c r="J63" s="124"/>
    </row>
    <row r="64" spans="1:10" ht="15.75" x14ac:dyDescent="0.25">
      <c r="A64" s="490" t="s">
        <v>164</v>
      </c>
      <c r="B64" s="491"/>
      <c r="C64" s="491"/>
      <c r="D64" s="123"/>
      <c r="E64" s="125">
        <v>-78915</v>
      </c>
      <c r="F64" s="125">
        <v>-61402</v>
      </c>
      <c r="G64" s="125">
        <v>-68475</v>
      </c>
      <c r="H64" s="123">
        <v>-74940</v>
      </c>
      <c r="I64" s="125">
        <v>-67525</v>
      </c>
      <c r="J64" s="126">
        <v>-221696</v>
      </c>
    </row>
    <row r="65" spans="1:10" ht="15.75" x14ac:dyDescent="0.25">
      <c r="A65" s="490" t="s">
        <v>274</v>
      </c>
      <c r="B65" s="491"/>
      <c r="C65" s="491"/>
      <c r="D65" s="123"/>
      <c r="E65" s="125">
        <v>-570253</v>
      </c>
      <c r="F65" s="125">
        <v>-611194</v>
      </c>
      <c r="G65" s="125">
        <v>-662385</v>
      </c>
      <c r="H65" s="123">
        <v>-809089</v>
      </c>
      <c r="I65" s="125">
        <v>-898412</v>
      </c>
      <c r="J65" s="126">
        <v>-1069674</v>
      </c>
    </row>
    <row r="66" spans="1:10" ht="15.75" x14ac:dyDescent="0.25">
      <c r="A66" s="490" t="s">
        <v>275</v>
      </c>
      <c r="B66" s="491"/>
      <c r="C66" s="491"/>
      <c r="D66" s="123"/>
      <c r="E66" s="125">
        <v>-50301</v>
      </c>
      <c r="F66" s="125">
        <v>-174104</v>
      </c>
      <c r="G66" s="125">
        <v>-195127</v>
      </c>
      <c r="H66" s="123">
        <v>-17733</v>
      </c>
      <c r="I66" s="125">
        <v>-71351</v>
      </c>
      <c r="J66" s="126">
        <v>-31993</v>
      </c>
    </row>
    <row r="67" spans="1:10" ht="15.75" x14ac:dyDescent="0.25">
      <c r="A67" s="490" t="s">
        <v>276</v>
      </c>
      <c r="B67" s="491"/>
      <c r="C67" s="491"/>
      <c r="D67" s="123"/>
      <c r="E67" s="125">
        <v>297209</v>
      </c>
      <c r="F67" s="125">
        <v>20308</v>
      </c>
      <c r="G67" s="125">
        <v>40163</v>
      </c>
      <c r="H67" s="123">
        <v>20881</v>
      </c>
      <c r="I67" s="125">
        <v>48944</v>
      </c>
      <c r="J67" s="126">
        <v>94786</v>
      </c>
    </row>
    <row r="68" spans="1:10" ht="15.75" x14ac:dyDescent="0.25">
      <c r="A68" s="490" t="s">
        <v>277</v>
      </c>
      <c r="B68" s="491"/>
      <c r="C68" s="491"/>
      <c r="D68" s="123"/>
      <c r="E68" s="125">
        <v>-495809</v>
      </c>
      <c r="F68" s="125">
        <v>-554826</v>
      </c>
      <c r="G68" s="125">
        <v>-389461</v>
      </c>
      <c r="H68" s="123">
        <v>-680022</v>
      </c>
      <c r="I68" s="125">
        <v>-1231552</v>
      </c>
      <c r="J68" s="126">
        <v>-1842973</v>
      </c>
    </row>
    <row r="69" spans="1:10" ht="15.75" x14ac:dyDescent="0.25">
      <c r="A69" s="490" t="s">
        <v>278</v>
      </c>
      <c r="B69" s="491"/>
      <c r="C69" s="491"/>
      <c r="D69" s="123"/>
      <c r="E69" s="125">
        <v>187843</v>
      </c>
      <c r="F69" s="125">
        <v>118535</v>
      </c>
      <c r="G69" s="125">
        <v>21030</v>
      </c>
      <c r="H69" s="123">
        <v>257895</v>
      </c>
      <c r="I69" s="125">
        <v>598016</v>
      </c>
      <c r="J69" s="126">
        <v>8146</v>
      </c>
    </row>
    <row r="70" spans="1:10" ht="15.75" x14ac:dyDescent="0.25">
      <c r="A70" s="490" t="s">
        <v>279</v>
      </c>
      <c r="B70" s="491"/>
      <c r="C70" s="491"/>
      <c r="D70" s="123"/>
      <c r="E70" s="125">
        <v>456886</v>
      </c>
      <c r="F70" s="125">
        <v>429886</v>
      </c>
      <c r="G70" s="125">
        <v>451118</v>
      </c>
      <c r="H70" s="123">
        <v>213277</v>
      </c>
      <c r="I70" s="125">
        <v>478302</v>
      </c>
      <c r="J70" s="126">
        <v>371277</v>
      </c>
    </row>
    <row r="71" spans="1:10" ht="16.5" thickBot="1" x14ac:dyDescent="0.3">
      <c r="A71" s="490" t="s">
        <v>280</v>
      </c>
      <c r="B71" s="491"/>
      <c r="C71" s="491"/>
      <c r="D71" s="123"/>
      <c r="E71" s="125">
        <v>-267552</v>
      </c>
      <c r="F71" s="125">
        <v>-227423</v>
      </c>
      <c r="G71" s="125">
        <v>-240228</v>
      </c>
      <c r="H71" s="123">
        <v>-39958</v>
      </c>
      <c r="I71" s="125">
        <v>-182958</v>
      </c>
      <c r="J71" s="126">
        <v>-416360</v>
      </c>
    </row>
    <row r="72" spans="1:10" ht="16.5" thickBot="1" x14ac:dyDescent="0.3">
      <c r="A72" s="501" t="s">
        <v>281</v>
      </c>
      <c r="B72" s="502"/>
      <c r="C72" s="503"/>
      <c r="D72" s="265"/>
      <c r="E72" s="295">
        <v>189334</v>
      </c>
      <c r="F72" s="295">
        <v>202463</v>
      </c>
      <c r="G72" s="295">
        <v>210890</v>
      </c>
      <c r="H72" s="266">
        <v>173319</v>
      </c>
      <c r="I72" s="295">
        <v>295344</v>
      </c>
      <c r="J72" s="295">
        <v>-45083</v>
      </c>
    </row>
    <row r="73" spans="1:10" ht="16.5" thickBot="1" x14ac:dyDescent="0.3">
      <c r="A73" s="504" t="s">
        <v>282</v>
      </c>
      <c r="B73" s="505"/>
      <c r="C73" s="505"/>
      <c r="D73" s="127"/>
      <c r="E73" s="127">
        <v>9.25</v>
      </c>
      <c r="F73" s="127">
        <v>9.89</v>
      </c>
      <c r="G73" s="127">
        <v>10.3</v>
      </c>
      <c r="H73" s="127">
        <v>8.4700000000000006</v>
      </c>
      <c r="I73" s="127">
        <v>14.43</v>
      </c>
      <c r="J73" s="128">
        <v>-2.2000000000000002</v>
      </c>
    </row>
    <row r="74" spans="1:1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</row>
    <row r="75" spans="1:1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</row>
    <row r="76" spans="1:1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</row>
    <row r="77" spans="1:10" ht="24" thickBot="1" x14ac:dyDescent="0.4">
      <c r="A77" s="498" t="s">
        <v>63</v>
      </c>
      <c r="B77" s="499"/>
      <c r="C77" s="499"/>
      <c r="D77" s="499"/>
      <c r="E77" s="499"/>
      <c r="F77" s="499"/>
      <c r="G77" s="499"/>
      <c r="H77" s="499"/>
      <c r="I77" s="500"/>
      <c r="J77" s="61"/>
    </row>
    <row r="78" spans="1:10" ht="15.75" thickBot="1" x14ac:dyDescent="0.3">
      <c r="A78" s="529"/>
      <c r="B78" s="530"/>
      <c r="C78" s="531"/>
      <c r="D78" s="296"/>
      <c r="E78" s="296">
        <v>2020</v>
      </c>
      <c r="F78" s="296">
        <v>2021</v>
      </c>
      <c r="G78" s="296">
        <v>2022</v>
      </c>
      <c r="H78" s="297">
        <v>2023</v>
      </c>
      <c r="I78" s="298">
        <v>2024</v>
      </c>
      <c r="J78" s="61"/>
    </row>
    <row r="79" spans="1:10" ht="18.75" x14ac:dyDescent="0.3">
      <c r="A79" s="299" t="s">
        <v>64</v>
      </c>
      <c r="B79" s="300"/>
      <c r="C79" s="56"/>
      <c r="D79" s="330"/>
      <c r="E79" s="57"/>
      <c r="F79" s="57"/>
      <c r="G79" s="58"/>
      <c r="H79" s="301"/>
      <c r="I79" s="302"/>
      <c r="J79" s="61"/>
    </row>
    <row r="80" spans="1:10" x14ac:dyDescent="0.25">
      <c r="A80" s="129" t="s">
        <v>65</v>
      </c>
      <c r="B80" s="59"/>
      <c r="C80" s="59"/>
      <c r="D80" s="323"/>
      <c r="E80" s="328">
        <v>1.35780977690327</v>
      </c>
      <c r="F80" s="303">
        <v>1.1452231683963914</v>
      </c>
      <c r="G80" s="304">
        <v>1.0484458171034916</v>
      </c>
      <c r="H80" s="305">
        <v>0.92930885688814158</v>
      </c>
      <c r="I80" s="305">
        <v>0.95443385977912565</v>
      </c>
      <c r="J80" s="61"/>
    </row>
    <row r="81" spans="1:10" x14ac:dyDescent="0.25">
      <c r="A81" s="129" t="s">
        <v>66</v>
      </c>
      <c r="B81" s="59"/>
      <c r="C81" s="59"/>
      <c r="D81" s="333"/>
      <c r="E81" s="329">
        <v>0.82765623884953954</v>
      </c>
      <c r="F81" s="306">
        <v>0.53489778188250392</v>
      </c>
      <c r="G81" s="306">
        <v>0.41192900466018167</v>
      </c>
      <c r="H81" s="307">
        <v>0.29778596350917319</v>
      </c>
      <c r="I81" s="307">
        <v>0.33568040738002303</v>
      </c>
      <c r="J81" s="61"/>
    </row>
    <row r="82" spans="1:10" ht="18.75" x14ac:dyDescent="0.3">
      <c r="A82" s="519" t="s">
        <v>67</v>
      </c>
      <c r="B82" s="520"/>
      <c r="C82" s="521"/>
      <c r="D82" s="522"/>
      <c r="E82" s="521"/>
      <c r="F82" s="521"/>
      <c r="G82" s="521"/>
      <c r="H82" s="521"/>
      <c r="I82" s="523"/>
      <c r="J82" s="61"/>
    </row>
    <row r="83" spans="1:10" x14ac:dyDescent="0.25">
      <c r="A83" s="129" t="s">
        <v>68</v>
      </c>
      <c r="B83" s="59"/>
      <c r="C83" s="59"/>
      <c r="D83" s="332"/>
      <c r="E83" s="419">
        <v>5.5271326059742298</v>
      </c>
      <c r="F83" s="420">
        <v>5.95355585336124</v>
      </c>
      <c r="G83" s="420">
        <v>3.4530927519836099</v>
      </c>
      <c r="H83" s="421">
        <v>2.8945396026818102</v>
      </c>
      <c r="I83" s="422">
        <v>3.9376542981585199</v>
      </c>
      <c r="J83" s="61"/>
    </row>
    <row r="84" spans="1:10" x14ac:dyDescent="0.25">
      <c r="A84" s="141" t="s">
        <v>322</v>
      </c>
      <c r="B84" s="5"/>
      <c r="C84" s="413"/>
      <c r="D84" s="426"/>
      <c r="E84" s="416">
        <v>14.506122448979593</v>
      </c>
      <c r="F84" s="414">
        <v>7.0268292682926825</v>
      </c>
      <c r="G84" s="414">
        <v>17.053459119496857</v>
      </c>
      <c r="H84" s="414">
        <v>55.367346938775512</v>
      </c>
      <c r="I84" s="414">
        <v>15.887573964497042</v>
      </c>
      <c r="J84" s="61"/>
    </row>
    <row r="85" spans="1:10" x14ac:dyDescent="0.25">
      <c r="A85" s="141" t="s">
        <v>323</v>
      </c>
      <c r="B85" s="5"/>
      <c r="C85" s="413"/>
      <c r="D85" s="426"/>
      <c r="E85" s="416">
        <v>-5.4521072796934869</v>
      </c>
      <c r="F85" s="414">
        <v>4.4522394260172611</v>
      </c>
      <c r="G85" s="414">
        <v>5.8289351742494899</v>
      </c>
      <c r="H85" s="414">
        <v>6.619788114456318</v>
      </c>
      <c r="I85" s="414">
        <v>5.9875428430689484</v>
      </c>
      <c r="J85" s="61"/>
    </row>
    <row r="86" spans="1:10" x14ac:dyDescent="0.25">
      <c r="A86" s="129" t="s">
        <v>69</v>
      </c>
      <c r="B86" s="59"/>
      <c r="C86" s="59"/>
      <c r="D86" s="323"/>
      <c r="E86" s="415">
        <v>15.450697277820057</v>
      </c>
      <c r="F86" s="417">
        <v>13.219762451027995</v>
      </c>
      <c r="G86" s="417">
        <v>23.234268171059622</v>
      </c>
      <c r="H86" s="418">
        <v>11.272992259073375</v>
      </c>
      <c r="I86" s="418">
        <v>10.57101629216141</v>
      </c>
      <c r="J86" s="61"/>
    </row>
    <row r="87" spans="1:10" x14ac:dyDescent="0.25">
      <c r="A87" s="141" t="s">
        <v>324</v>
      </c>
      <c r="B87" s="59"/>
      <c r="C87" s="59"/>
      <c r="D87" s="323"/>
      <c r="E87" s="414">
        <v>-43.733309908643712</v>
      </c>
      <c r="F87" s="414">
        <v>-48.026315789473685</v>
      </c>
      <c r="G87" s="414">
        <v>-15.334182049649906</v>
      </c>
      <c r="H87" s="414">
        <v>-20.290491118077327</v>
      </c>
      <c r="I87" s="414">
        <v>-13.105189340813466</v>
      </c>
      <c r="J87" s="61"/>
    </row>
    <row r="88" spans="1:10" x14ac:dyDescent="0.25">
      <c r="A88" s="141" t="s">
        <v>325</v>
      </c>
      <c r="B88" s="59"/>
      <c r="C88" s="59"/>
      <c r="D88" s="323"/>
      <c r="E88" s="414">
        <v>-75.924104005621928</v>
      </c>
      <c r="F88" s="414">
        <v>-113.93319838056679</v>
      </c>
      <c r="G88" s="414">
        <v>-74.579885423297256</v>
      </c>
      <c r="H88" s="414">
        <v>-50.72622779519331</v>
      </c>
      <c r="I88" s="414">
        <v>-139.19144460028051</v>
      </c>
      <c r="J88" s="61"/>
    </row>
    <row r="89" spans="1:10" x14ac:dyDescent="0.25">
      <c r="A89" s="141" t="s">
        <v>326</v>
      </c>
      <c r="B89" s="59"/>
      <c r="C89" s="59"/>
      <c r="D89" s="323"/>
      <c r="E89" s="414">
        <v>7.0290045640575727</v>
      </c>
      <c r="F89" s="414">
        <v>13.963113066622427</v>
      </c>
      <c r="G89" s="414">
        <v>37.84242105758613</v>
      </c>
      <c r="H89" s="414">
        <v>23.843403466647867</v>
      </c>
      <c r="I89" s="414">
        <v>103.11232602296798</v>
      </c>
      <c r="J89" s="61"/>
    </row>
    <row r="90" spans="1:10" x14ac:dyDescent="0.25">
      <c r="A90" s="129" t="s">
        <v>70</v>
      </c>
      <c r="B90" s="59"/>
      <c r="C90" s="59"/>
      <c r="D90" s="323"/>
      <c r="E90" s="415">
        <v>1.2526919202766633</v>
      </c>
      <c r="F90" s="417">
        <v>1.1858675802373277</v>
      </c>
      <c r="G90" s="417">
        <v>0.94071846293997452</v>
      </c>
      <c r="H90" s="417">
        <v>0.72446048853049538</v>
      </c>
      <c r="I90" s="417">
        <v>1.1391500991578449</v>
      </c>
      <c r="J90" s="61"/>
    </row>
    <row r="91" spans="1:10" x14ac:dyDescent="0.25">
      <c r="A91" s="129" t="s">
        <v>71</v>
      </c>
      <c r="B91" s="59"/>
      <c r="C91" s="59"/>
      <c r="D91" s="323"/>
      <c r="E91" s="415">
        <v>2.222697283820593</v>
      </c>
      <c r="F91" s="417">
        <v>2.2298452149535182</v>
      </c>
      <c r="G91" s="417">
        <v>2.1908291589337967</v>
      </c>
      <c r="H91" s="417">
        <v>1.3585990913794102</v>
      </c>
      <c r="I91" s="417">
        <v>2.2170510171177544</v>
      </c>
      <c r="J91" s="61"/>
    </row>
    <row r="92" spans="1:10" ht="18.75" x14ac:dyDescent="0.3">
      <c r="A92" s="524" t="s">
        <v>72</v>
      </c>
      <c r="B92" s="525"/>
      <c r="C92" s="526"/>
      <c r="D92" s="526"/>
      <c r="E92" s="526"/>
      <c r="F92" s="526"/>
      <c r="G92" s="526"/>
      <c r="H92" s="526"/>
      <c r="I92" s="527"/>
      <c r="J92" s="61"/>
    </row>
    <row r="93" spans="1:10" x14ac:dyDescent="0.25">
      <c r="A93" s="129" t="s">
        <v>334</v>
      </c>
      <c r="B93" s="59"/>
      <c r="C93" s="59"/>
      <c r="D93" s="324"/>
      <c r="E93" s="424">
        <v>0.12292982755676968</v>
      </c>
      <c r="F93" s="424">
        <v>0.16057913787430075</v>
      </c>
      <c r="G93" s="424">
        <v>0.15893169877408056</v>
      </c>
      <c r="H93" s="424">
        <v>0.11087153881071267</v>
      </c>
      <c r="I93" s="424">
        <v>0.27873672230652502</v>
      </c>
      <c r="J93" s="61"/>
    </row>
    <row r="94" spans="1:10" x14ac:dyDescent="0.25">
      <c r="A94" s="141" t="s">
        <v>73</v>
      </c>
      <c r="B94" s="59"/>
      <c r="C94" s="59"/>
      <c r="D94" s="324"/>
      <c r="E94" s="424">
        <v>0.16498625114573787</v>
      </c>
      <c r="F94" s="424">
        <v>0.20569020021074816</v>
      </c>
      <c r="G94" s="424">
        <v>0.21924703040064425</v>
      </c>
      <c r="H94" s="424">
        <v>0.15121498220089769</v>
      </c>
      <c r="I94" s="424">
        <v>0.35858955588091751</v>
      </c>
      <c r="J94" s="61"/>
    </row>
    <row r="95" spans="1:10" x14ac:dyDescent="0.25">
      <c r="A95" s="141" t="s">
        <v>328</v>
      </c>
      <c r="B95" s="59"/>
      <c r="C95" s="59"/>
      <c r="D95" s="324"/>
      <c r="E95" s="459">
        <v>0.19758507135016465</v>
      </c>
      <c r="F95" s="459">
        <v>0.25895462987529849</v>
      </c>
      <c r="G95" s="459">
        <v>0.28081485301701908</v>
      </c>
      <c r="H95" s="459">
        <v>0.17815463165572576</v>
      </c>
      <c r="I95" s="459">
        <v>0.55906410500285331</v>
      </c>
      <c r="J95" s="61"/>
    </row>
    <row r="96" spans="1:10" x14ac:dyDescent="0.25">
      <c r="A96" s="141" t="s">
        <v>329</v>
      </c>
      <c r="B96" s="59"/>
      <c r="C96" s="59"/>
      <c r="D96" s="324"/>
      <c r="E96" s="424">
        <v>2.1854191565647944E-2</v>
      </c>
      <c r="F96" s="424">
        <v>3.372820006581112E-2</v>
      </c>
      <c r="G96" s="424">
        <v>1.8388791593695272E-2</v>
      </c>
      <c r="H96" s="424">
        <v>3.5406264185201999E-2</v>
      </c>
      <c r="I96" s="424">
        <v>2.0864946889226101E-2</v>
      </c>
      <c r="J96" s="61"/>
    </row>
    <row r="97" spans="1:10" x14ac:dyDescent="0.25">
      <c r="A97" s="129" t="s">
        <v>74</v>
      </c>
      <c r="B97" s="59"/>
      <c r="C97" s="59"/>
      <c r="D97" s="331"/>
      <c r="E97" s="327">
        <v>0.22518771650932004</v>
      </c>
      <c r="F97" s="308">
        <v>-0.15831366940463873</v>
      </c>
      <c r="G97" s="308">
        <v>0.68636749987500401</v>
      </c>
      <c r="H97" s="308">
        <v>0.61162663046302557</v>
      </c>
      <c r="I97" s="308">
        <v>0.79854452561160694</v>
      </c>
      <c r="J97" s="61"/>
    </row>
    <row r="98" spans="1:10" ht="18.75" x14ac:dyDescent="0.3">
      <c r="A98" s="524" t="s">
        <v>308</v>
      </c>
      <c r="B98" s="525"/>
      <c r="C98" s="525"/>
      <c r="D98" s="525"/>
      <c r="E98" s="525"/>
      <c r="F98" s="525"/>
      <c r="G98" s="525"/>
      <c r="H98" s="525"/>
      <c r="I98" s="528"/>
      <c r="J98" s="61"/>
    </row>
    <row r="99" spans="1:10" x14ac:dyDescent="0.25">
      <c r="A99" s="129" t="s">
        <v>302</v>
      </c>
      <c r="B99" s="59"/>
      <c r="C99" s="59"/>
      <c r="D99" s="325"/>
      <c r="E99" s="336">
        <v>15.515857225375228</v>
      </c>
      <c r="F99" s="337">
        <v>15.795885424967663</v>
      </c>
      <c r="G99" s="337">
        <v>14.33241693483191</v>
      </c>
      <c r="H99" s="337">
        <v>16.00448391536343</v>
      </c>
      <c r="I99" s="337">
        <v>16.563622684500327</v>
      </c>
      <c r="J99" s="61"/>
    </row>
    <row r="100" spans="1:10" x14ac:dyDescent="0.25">
      <c r="A100" s="129" t="s">
        <v>303</v>
      </c>
      <c r="B100" s="59"/>
      <c r="C100" s="59"/>
      <c r="D100" s="324"/>
      <c r="E100" s="540">
        <v>7.9399999999999998E-2</v>
      </c>
      <c r="F100" s="541">
        <v>7.5899999999999995E-2</v>
      </c>
      <c r="G100" s="541">
        <v>6.0199999999999997E-2</v>
      </c>
      <c r="H100" s="541">
        <v>8.4699999999999998E-2</v>
      </c>
      <c r="I100" s="541">
        <v>0.10639999999999999</v>
      </c>
      <c r="J100" s="61"/>
    </row>
    <row r="101" spans="1:10" x14ac:dyDescent="0.25">
      <c r="A101" s="129" t="s">
        <v>305</v>
      </c>
      <c r="B101" s="59"/>
      <c r="C101" s="59"/>
      <c r="D101" s="324"/>
      <c r="E101" s="338">
        <v>2.3253941545561361</v>
      </c>
      <c r="F101" s="339">
        <v>2.317368373223665</v>
      </c>
      <c r="G101" s="339">
        <v>1.5459780834131882</v>
      </c>
      <c r="H101" s="339">
        <v>1.630525515220093</v>
      </c>
      <c r="I101" s="339">
        <v>-0.24766388511973103</v>
      </c>
      <c r="J101" s="61"/>
    </row>
    <row r="102" spans="1:10" x14ac:dyDescent="0.25">
      <c r="A102" s="141" t="s">
        <v>306</v>
      </c>
      <c r="B102" s="5"/>
      <c r="C102" s="321"/>
      <c r="D102" s="326"/>
      <c r="E102" s="320">
        <v>6.1899999999999997E-2</v>
      </c>
      <c r="F102" s="164">
        <v>6.1600000000000002E-2</v>
      </c>
      <c r="G102" s="164">
        <v>0.05</v>
      </c>
      <c r="H102" s="164">
        <v>3.8399999999999997E-2</v>
      </c>
      <c r="I102" s="164">
        <v>-6.4000000000000003E-3</v>
      </c>
    </row>
    <row r="103" spans="1:10" x14ac:dyDescent="0.25">
      <c r="A103" s="141" t="s">
        <v>307</v>
      </c>
      <c r="B103" s="5"/>
      <c r="C103" s="321"/>
      <c r="D103" s="326"/>
      <c r="E103" s="320">
        <v>9.4899999999999998E-2</v>
      </c>
      <c r="F103" s="164">
        <v>9.6299999999999997E-2</v>
      </c>
      <c r="G103" s="164">
        <v>7.0800000000000002E-2</v>
      </c>
      <c r="H103" s="164">
        <v>6.9400000000000003E-2</v>
      </c>
      <c r="I103" s="164">
        <v>0.14399999999999999</v>
      </c>
    </row>
    <row r="104" spans="1:10" x14ac:dyDescent="0.25">
      <c r="A104" s="141" t="s">
        <v>301</v>
      </c>
      <c r="B104" s="5"/>
      <c r="C104" s="321"/>
      <c r="D104" s="326"/>
      <c r="E104" s="320">
        <v>9.9500000000000005E-2</v>
      </c>
      <c r="F104" s="164">
        <v>0.09</v>
      </c>
      <c r="G104" s="164">
        <v>5.6300000000000003E-2</v>
      </c>
      <c r="H104" s="164">
        <v>6.1400000000000003E-2</v>
      </c>
      <c r="I104" s="164">
        <v>0.1212</v>
      </c>
    </row>
    <row r="105" spans="1:10" ht="18.75" x14ac:dyDescent="0.3">
      <c r="A105" s="524" t="s">
        <v>77</v>
      </c>
      <c r="B105" s="525"/>
      <c r="C105" s="525"/>
      <c r="D105" s="525"/>
      <c r="E105" s="525"/>
      <c r="F105" s="525"/>
      <c r="G105" s="525"/>
      <c r="H105" s="525"/>
      <c r="I105" s="528"/>
      <c r="J105" s="61"/>
    </row>
    <row r="106" spans="1:10" x14ac:dyDescent="0.25">
      <c r="A106" s="129" t="s">
        <v>78</v>
      </c>
      <c r="B106" s="59"/>
      <c r="C106" s="59"/>
      <c r="D106" s="323"/>
      <c r="E106" s="322">
        <v>4.7017189079878658</v>
      </c>
      <c r="F106" s="60">
        <v>6.4563106796116498</v>
      </c>
      <c r="G106" s="60">
        <v>8.9728453364816989</v>
      </c>
      <c r="H106" s="60">
        <v>4.0887040887040884</v>
      </c>
      <c r="I106" s="60">
        <v>-36.31818181818182</v>
      </c>
      <c r="J106" s="61"/>
    </row>
    <row r="107" spans="1:10" x14ac:dyDescent="0.25">
      <c r="A107" s="129" t="s">
        <v>79</v>
      </c>
      <c r="B107" s="59"/>
      <c r="C107" s="59"/>
      <c r="D107" s="323"/>
      <c r="E107" s="322">
        <v>0.29098873591989988</v>
      </c>
      <c r="F107" s="277">
        <v>0.4</v>
      </c>
      <c r="G107" s="277">
        <v>0.45</v>
      </c>
      <c r="H107" s="60">
        <v>0.15716568993074057</v>
      </c>
      <c r="I107" s="60">
        <v>0.2329446064139942</v>
      </c>
      <c r="J107" s="61"/>
    </row>
    <row r="108" spans="1:10" x14ac:dyDescent="0.25">
      <c r="A108" s="141" t="s">
        <v>331</v>
      </c>
      <c r="B108" s="59"/>
      <c r="C108" s="59"/>
      <c r="D108" s="323"/>
      <c r="E108" s="395"/>
      <c r="F108" s="395"/>
      <c r="G108" s="395"/>
      <c r="H108" s="395"/>
      <c r="I108" s="395"/>
      <c r="J108" s="61"/>
    </row>
    <row r="109" spans="1:10" x14ac:dyDescent="0.25">
      <c r="A109" s="141" t="s">
        <v>332</v>
      </c>
      <c r="B109" s="59"/>
      <c r="C109" s="59"/>
      <c r="D109" s="323"/>
      <c r="E109" s="395">
        <v>1.1912225705329153E-2</v>
      </c>
      <c r="F109" s="395">
        <v>3.214285714285714E-2</v>
      </c>
      <c r="G109" s="395">
        <v>4.8734177215189876E-2</v>
      </c>
      <c r="H109" s="395">
        <v>8.8888888888888892E-2</v>
      </c>
      <c r="I109" s="395">
        <v>0.41851851851851857</v>
      </c>
      <c r="J109" s="61"/>
    </row>
    <row r="110" spans="1:10" x14ac:dyDescent="0.25">
      <c r="A110" s="141" t="s">
        <v>333</v>
      </c>
      <c r="B110" s="59"/>
      <c r="C110" s="59"/>
      <c r="D110" s="323"/>
      <c r="E110" s="165">
        <v>65.880434782608702</v>
      </c>
      <c r="F110" s="165">
        <v>109.27433628318583</v>
      </c>
      <c r="G110" s="165">
        <v>132.23913043478262</v>
      </c>
      <c r="H110" s="165">
        <v>178.94117647058823</v>
      </c>
      <c r="I110" s="165">
        <v>393.67741935483872</v>
      </c>
      <c r="J110" s="61"/>
    </row>
    <row r="111" spans="1:10" x14ac:dyDescent="0.25">
      <c r="A111" s="423" t="s">
        <v>195</v>
      </c>
      <c r="B111" s="423"/>
      <c r="C111" s="423"/>
      <c r="D111" s="425"/>
      <c r="E111" s="334">
        <v>3.51</v>
      </c>
      <c r="F111" s="335">
        <v>4.5599999999999996</v>
      </c>
      <c r="G111" s="335">
        <v>7.44</v>
      </c>
      <c r="H111" s="335">
        <v>3.83</v>
      </c>
      <c r="I111" s="335">
        <v>2.99</v>
      </c>
      <c r="J111" s="61"/>
    </row>
    <row r="112" spans="1:1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</row>
    <row r="113" spans="1:1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</row>
    <row r="114" spans="1:1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</row>
    <row r="115" spans="1:10" ht="18.75" x14ac:dyDescent="0.3">
      <c r="A115" s="484" t="s">
        <v>81</v>
      </c>
      <c r="B115" s="485"/>
      <c r="C115" s="485"/>
      <c r="D115" s="485"/>
      <c r="E115" s="485"/>
      <c r="F115" s="485"/>
      <c r="G115" s="486"/>
      <c r="H115" s="61"/>
      <c r="I115" s="61"/>
      <c r="J115" s="61"/>
    </row>
    <row r="116" spans="1:10" x14ac:dyDescent="0.25">
      <c r="A116" s="63"/>
      <c r="B116" s="63">
        <v>2019</v>
      </c>
      <c r="C116" s="63">
        <v>2020</v>
      </c>
      <c r="D116" s="309">
        <v>2021</v>
      </c>
      <c r="E116" s="309">
        <v>2022</v>
      </c>
      <c r="F116" s="309">
        <v>2023</v>
      </c>
      <c r="G116" s="309">
        <v>2024</v>
      </c>
      <c r="H116" s="61"/>
      <c r="I116" s="61"/>
      <c r="J116" s="61"/>
    </row>
    <row r="117" spans="1:10" ht="15.75" x14ac:dyDescent="0.25">
      <c r="A117" s="130" t="s">
        <v>82</v>
      </c>
      <c r="B117" s="131">
        <v>3</v>
      </c>
      <c r="C117" s="132">
        <v>3</v>
      </c>
      <c r="D117" s="133">
        <v>5</v>
      </c>
      <c r="E117" s="133">
        <v>5</v>
      </c>
      <c r="F117" s="133">
        <v>9</v>
      </c>
      <c r="G117" s="133">
        <v>0</v>
      </c>
      <c r="H117" s="61"/>
      <c r="I117" s="61"/>
      <c r="J117" s="61"/>
    </row>
    <row r="118" spans="1:10" ht="15.75" x14ac:dyDescent="0.25">
      <c r="A118" s="130" t="s">
        <v>83</v>
      </c>
      <c r="B118" s="131">
        <v>40</v>
      </c>
      <c r="C118" s="132">
        <v>46.5</v>
      </c>
      <c r="D118" s="133">
        <v>66.5</v>
      </c>
      <c r="E118" s="133">
        <v>76</v>
      </c>
      <c r="F118" s="133">
        <v>59</v>
      </c>
      <c r="G118" s="133">
        <v>79.900000000000006</v>
      </c>
      <c r="H118" s="61"/>
      <c r="I118" s="61"/>
      <c r="J118" s="61"/>
    </row>
    <row r="119" spans="1:10" ht="18" customHeight="1" x14ac:dyDescent="0.25">
      <c r="A119" s="134" t="s">
        <v>85</v>
      </c>
      <c r="B119" s="132">
        <v>1113557</v>
      </c>
      <c r="C119" s="132">
        <v>1355959</v>
      </c>
      <c r="D119" s="92">
        <v>946429</v>
      </c>
      <c r="E119" s="92">
        <v>1424245</v>
      </c>
      <c r="F119" s="136" t="s">
        <v>283</v>
      </c>
      <c r="G119" s="92">
        <v>1428344</v>
      </c>
      <c r="H119" s="61"/>
      <c r="I119" s="61"/>
      <c r="J119" s="61"/>
    </row>
    <row r="120" spans="1:10" ht="15.75" x14ac:dyDescent="0.25">
      <c r="A120" s="134" t="s">
        <v>86</v>
      </c>
      <c r="B120" s="275">
        <v>153</v>
      </c>
      <c r="C120" s="275">
        <v>159.80000000000001</v>
      </c>
      <c r="D120" s="276" t="s">
        <v>284</v>
      </c>
      <c r="E120" s="276" t="s">
        <v>285</v>
      </c>
      <c r="F120" s="276">
        <v>375.4</v>
      </c>
      <c r="G120" s="276">
        <v>343</v>
      </c>
      <c r="H120" s="61"/>
      <c r="I120" s="61"/>
      <c r="J120" s="61"/>
    </row>
    <row r="121" spans="1:10" ht="31.5" x14ac:dyDescent="0.25">
      <c r="A121" s="134" t="s">
        <v>89</v>
      </c>
      <c r="B121" s="135">
        <v>20473700</v>
      </c>
      <c r="C121" s="135">
        <v>20473700</v>
      </c>
      <c r="D121" s="138">
        <v>20473700</v>
      </c>
      <c r="E121" s="138">
        <v>20473700</v>
      </c>
      <c r="F121" s="138">
        <v>20473700</v>
      </c>
      <c r="G121" s="138">
        <v>20473700</v>
      </c>
      <c r="H121" s="61"/>
      <c r="I121" s="61"/>
      <c r="J121" s="61"/>
    </row>
    <row r="122" spans="1:10" ht="15.75" x14ac:dyDescent="0.25">
      <c r="A122" s="134" t="s">
        <v>87</v>
      </c>
      <c r="B122" s="132">
        <v>9.25</v>
      </c>
      <c r="C122" s="132">
        <v>9.89</v>
      </c>
      <c r="D122" s="133">
        <v>10.3</v>
      </c>
      <c r="E122" s="133">
        <v>8.4700000000000006</v>
      </c>
      <c r="F122" s="133">
        <v>14.43</v>
      </c>
      <c r="G122" s="133">
        <v>-2.2000000000000002</v>
      </c>
      <c r="H122" s="61"/>
      <c r="I122" s="61"/>
      <c r="J122" s="61"/>
    </row>
  </sheetData>
  <mergeCells count="67">
    <mergeCell ref="A82:I82"/>
    <mergeCell ref="A92:I92"/>
    <mergeCell ref="A98:I98"/>
    <mergeCell ref="A105:I105"/>
    <mergeCell ref="A78:C78"/>
    <mergeCell ref="A28:C28"/>
    <mergeCell ref="A29:C29"/>
    <mergeCell ref="A30:C30"/>
    <mergeCell ref="A31:C31"/>
    <mergeCell ref="A68:C68"/>
    <mergeCell ref="A35:C35"/>
    <mergeCell ref="A33:C33"/>
    <mergeCell ref="A32:C32"/>
    <mergeCell ref="A46:C46"/>
    <mergeCell ref="A47:C47"/>
    <mergeCell ref="A48:C48"/>
    <mergeCell ref="A49:C49"/>
    <mergeCell ref="A56:J56"/>
    <mergeCell ref="A43:C43"/>
    <mergeCell ref="A44:C44"/>
    <mergeCell ref="A52:C52"/>
    <mergeCell ref="A37:C37"/>
    <mergeCell ref="A38:C38"/>
    <mergeCell ref="A39:C39"/>
    <mergeCell ref="A50:C50"/>
    <mergeCell ref="A45:C45"/>
    <mergeCell ref="A1:J1"/>
    <mergeCell ref="A2:J2"/>
    <mergeCell ref="A3:J3"/>
    <mergeCell ref="A77:I77"/>
    <mergeCell ref="A72:C72"/>
    <mergeCell ref="A73:C73"/>
    <mergeCell ref="A63:C63"/>
    <mergeCell ref="A64:C64"/>
    <mergeCell ref="A65:C65"/>
    <mergeCell ref="A66:C66"/>
    <mergeCell ref="A67:C67"/>
    <mergeCell ref="A58:C58"/>
    <mergeCell ref="A59:C59"/>
    <mergeCell ref="A60:C60"/>
    <mergeCell ref="A61:C61"/>
    <mergeCell ref="A62:C62"/>
    <mergeCell ref="A10:C10"/>
    <mergeCell ref="A11:C11"/>
    <mergeCell ref="A13:C13"/>
    <mergeCell ref="A14:C14"/>
    <mergeCell ref="A4:C4"/>
    <mergeCell ref="A6:C6"/>
    <mergeCell ref="A7:C7"/>
    <mergeCell ref="A8:C8"/>
    <mergeCell ref="A9:C9"/>
    <mergeCell ref="A115:G115"/>
    <mergeCell ref="A23:C23"/>
    <mergeCell ref="A24:C24"/>
    <mergeCell ref="A27:C27"/>
    <mergeCell ref="A17:C17"/>
    <mergeCell ref="A19:C19"/>
    <mergeCell ref="A20:C20"/>
    <mergeCell ref="A21:C21"/>
    <mergeCell ref="A22:C22"/>
    <mergeCell ref="A69:C69"/>
    <mergeCell ref="A70:C70"/>
    <mergeCell ref="A71:C71"/>
    <mergeCell ref="A57:J57"/>
    <mergeCell ref="A36:C36"/>
    <mergeCell ref="A42:C42"/>
    <mergeCell ref="A40:C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4F99-8E41-4F3C-9444-0A9D12C7B91B}">
  <dimension ref="A1:K108"/>
  <sheetViews>
    <sheetView topLeftCell="A77" zoomScale="75" workbookViewId="0">
      <selection activeCell="D91" sqref="D91"/>
    </sheetView>
  </sheetViews>
  <sheetFormatPr defaultRowHeight="15" x14ac:dyDescent="0.25"/>
  <cols>
    <col min="1" max="1" width="51.7109375" bestFit="1" customWidth="1"/>
    <col min="2" max="2" width="14.140625" customWidth="1"/>
    <col min="3" max="3" width="13.42578125" customWidth="1"/>
    <col min="4" max="4" width="16.28515625" customWidth="1"/>
    <col min="5" max="5" width="14.140625" customWidth="1"/>
    <col min="6" max="6" width="15.7109375" customWidth="1"/>
    <col min="7" max="7" width="15.5703125" customWidth="1"/>
  </cols>
  <sheetData>
    <row r="1" spans="1:7" ht="18.75" x14ac:dyDescent="0.3">
      <c r="A1" s="350" t="s">
        <v>286</v>
      </c>
      <c r="B1" s="87"/>
      <c r="C1" s="87"/>
      <c r="D1" s="87"/>
      <c r="E1" s="87"/>
      <c r="F1" s="87"/>
      <c r="G1" s="61"/>
    </row>
    <row r="2" spans="1:7" x14ac:dyDescent="0.25">
      <c r="A2" s="207" t="s">
        <v>127</v>
      </c>
      <c r="B2" s="208">
        <v>2024</v>
      </c>
      <c r="C2" s="208">
        <v>2023</v>
      </c>
      <c r="D2" s="208">
        <v>2022</v>
      </c>
      <c r="E2" s="208">
        <v>2021</v>
      </c>
      <c r="F2" s="208">
        <v>2020</v>
      </c>
      <c r="G2" s="61"/>
    </row>
    <row r="3" spans="1:7" ht="18.75" x14ac:dyDescent="0.3">
      <c r="A3" s="209" t="s">
        <v>2</v>
      </c>
      <c r="B3" s="210"/>
      <c r="C3" s="210"/>
      <c r="D3" s="210"/>
      <c r="E3" s="210"/>
      <c r="F3" s="210"/>
      <c r="G3" s="61"/>
    </row>
    <row r="4" spans="1:7" x14ac:dyDescent="0.25">
      <c r="A4" s="213" t="s">
        <v>128</v>
      </c>
      <c r="B4" s="214"/>
      <c r="C4" s="214"/>
      <c r="D4" s="214"/>
      <c r="E4" s="214"/>
      <c r="F4" s="215"/>
      <c r="G4" s="61"/>
    </row>
    <row r="5" spans="1:7" x14ac:dyDescent="0.25">
      <c r="A5" s="98" t="s">
        <v>129</v>
      </c>
      <c r="B5" s="99">
        <v>21545185</v>
      </c>
      <c r="C5" s="99">
        <v>20371132</v>
      </c>
      <c r="D5" s="122">
        <v>18016724</v>
      </c>
      <c r="E5" s="122">
        <v>11833225</v>
      </c>
      <c r="F5" s="108">
        <v>9892348</v>
      </c>
      <c r="G5" s="61"/>
    </row>
    <row r="6" spans="1:7" x14ac:dyDescent="0.25">
      <c r="A6" s="98" t="s">
        <v>220</v>
      </c>
      <c r="B6" s="97">
        <v>295474</v>
      </c>
      <c r="C6" s="116">
        <v>296124</v>
      </c>
      <c r="D6" s="97">
        <v>283515</v>
      </c>
      <c r="E6" s="99">
        <v>339575</v>
      </c>
      <c r="F6" s="109">
        <v>395099</v>
      </c>
      <c r="G6" s="61"/>
    </row>
    <row r="7" spans="1:7" x14ac:dyDescent="0.25">
      <c r="A7" s="98" t="s">
        <v>131</v>
      </c>
      <c r="B7" s="99">
        <v>1652823</v>
      </c>
      <c r="C7" s="97">
        <v>638357</v>
      </c>
      <c r="D7" s="122">
        <v>423964</v>
      </c>
      <c r="E7" s="122">
        <v>423964</v>
      </c>
      <c r="F7" s="109">
        <v>139154</v>
      </c>
      <c r="G7" s="61"/>
    </row>
    <row r="8" spans="1:7" x14ac:dyDescent="0.25">
      <c r="A8" s="103" t="s">
        <v>132</v>
      </c>
      <c r="B8" s="211">
        <v>15343</v>
      </c>
      <c r="C8" s="211">
        <v>283936</v>
      </c>
      <c r="D8" s="343">
        <v>261304</v>
      </c>
      <c r="E8" s="343">
        <v>240577</v>
      </c>
      <c r="F8" s="110">
        <v>75904</v>
      </c>
      <c r="G8" s="61"/>
    </row>
    <row r="9" spans="1:7" x14ac:dyDescent="0.25">
      <c r="A9" s="97" t="s">
        <v>287</v>
      </c>
      <c r="B9" s="97">
        <v>23508825</v>
      </c>
      <c r="C9" s="97">
        <v>21589549</v>
      </c>
      <c r="D9" s="121">
        <v>18985507</v>
      </c>
      <c r="E9" s="121">
        <v>12837341</v>
      </c>
      <c r="F9" s="116">
        <v>10502505</v>
      </c>
      <c r="G9" s="61"/>
    </row>
    <row r="10" spans="1:7" x14ac:dyDescent="0.25">
      <c r="A10" s="216" t="s">
        <v>134</v>
      </c>
      <c r="B10" s="217"/>
      <c r="C10" s="217"/>
      <c r="D10" s="217"/>
      <c r="E10" s="217"/>
      <c r="F10" s="216"/>
      <c r="G10" s="61"/>
    </row>
    <row r="11" spans="1:7" x14ac:dyDescent="0.25">
      <c r="A11" s="111" t="s">
        <v>135</v>
      </c>
      <c r="B11" s="212">
        <v>732276</v>
      </c>
      <c r="C11" s="212">
        <v>841710</v>
      </c>
      <c r="D11" s="212">
        <v>509428</v>
      </c>
      <c r="E11" s="212">
        <v>522564</v>
      </c>
      <c r="F11" s="113">
        <v>502275</v>
      </c>
      <c r="G11" s="61"/>
    </row>
    <row r="12" spans="1:7" x14ac:dyDescent="0.25">
      <c r="A12" s="98" t="s">
        <v>12</v>
      </c>
      <c r="B12" s="99">
        <v>3988480</v>
      </c>
      <c r="C12" s="99">
        <v>5177676</v>
      </c>
      <c r="D12" s="122">
        <v>3379869</v>
      </c>
      <c r="E12" s="99">
        <v>1354545</v>
      </c>
      <c r="F12" s="109">
        <v>1241999</v>
      </c>
      <c r="G12" s="61"/>
    </row>
    <row r="13" spans="1:7" x14ac:dyDescent="0.25">
      <c r="A13" s="98" t="s">
        <v>13</v>
      </c>
      <c r="B13" s="99">
        <v>276285</v>
      </c>
      <c r="C13" s="99">
        <v>1214104</v>
      </c>
      <c r="D13" s="99">
        <v>44157</v>
      </c>
      <c r="E13" s="99">
        <v>533462</v>
      </c>
      <c r="F13" s="109">
        <v>143049</v>
      </c>
      <c r="G13" s="61"/>
    </row>
    <row r="14" spans="1:7" x14ac:dyDescent="0.25">
      <c r="A14" s="98" t="s">
        <v>14</v>
      </c>
      <c r="B14" s="99">
        <v>1771110</v>
      </c>
      <c r="C14" s="99">
        <v>1742423</v>
      </c>
      <c r="D14" s="122">
        <v>1474655</v>
      </c>
      <c r="E14" s="122">
        <v>885455</v>
      </c>
      <c r="F14" s="109">
        <v>1619493</v>
      </c>
      <c r="G14" s="61"/>
    </row>
    <row r="15" spans="1:7" x14ac:dyDescent="0.25">
      <c r="A15" s="98" t="s">
        <v>137</v>
      </c>
      <c r="B15" s="99">
        <v>74078</v>
      </c>
      <c r="C15" s="99">
        <v>200991</v>
      </c>
      <c r="D15" s="122">
        <v>255651</v>
      </c>
      <c r="E15" s="122">
        <v>257638</v>
      </c>
      <c r="F15" s="109">
        <v>311098</v>
      </c>
      <c r="G15" s="61"/>
    </row>
    <row r="16" spans="1:7" x14ac:dyDescent="0.25">
      <c r="A16" s="98" t="s">
        <v>141</v>
      </c>
      <c r="B16" s="116">
        <v>898783</v>
      </c>
      <c r="C16" s="117">
        <v>811313</v>
      </c>
      <c r="D16" s="122">
        <v>212853</v>
      </c>
      <c r="E16" s="122">
        <v>281463</v>
      </c>
      <c r="F16" s="108">
        <v>281856</v>
      </c>
      <c r="G16" s="61"/>
    </row>
    <row r="17" spans="1:7" x14ac:dyDescent="0.25">
      <c r="A17" s="98" t="s">
        <v>142</v>
      </c>
      <c r="B17" s="97">
        <v>8136075</v>
      </c>
      <c r="C17" s="99">
        <v>10110439</v>
      </c>
      <c r="D17" s="117">
        <v>5918070</v>
      </c>
      <c r="E17" s="117">
        <v>4136107</v>
      </c>
      <c r="F17" s="108">
        <v>4387455</v>
      </c>
      <c r="G17" s="61"/>
    </row>
    <row r="18" spans="1:7" x14ac:dyDescent="0.25">
      <c r="A18" s="218" t="s">
        <v>144</v>
      </c>
      <c r="B18" s="217">
        <v>31644900</v>
      </c>
      <c r="C18" s="238">
        <v>31577766</v>
      </c>
      <c r="D18" s="344">
        <v>24903577</v>
      </c>
      <c r="E18" s="344">
        <v>16973448</v>
      </c>
      <c r="F18" s="219">
        <v>14889960</v>
      </c>
      <c r="G18" s="61"/>
    </row>
    <row r="19" spans="1:7" x14ac:dyDescent="0.25">
      <c r="A19" s="114"/>
      <c r="B19" s="114"/>
      <c r="C19" s="114"/>
      <c r="D19" s="114"/>
      <c r="E19" s="114"/>
      <c r="F19" s="115"/>
      <c r="G19" s="61"/>
    </row>
    <row r="20" spans="1:7" ht="18.75" x14ac:dyDescent="0.3">
      <c r="A20" s="220" t="s">
        <v>23</v>
      </c>
      <c r="B20" s="221">
        <v>2024</v>
      </c>
      <c r="C20" s="221">
        <v>2023</v>
      </c>
      <c r="D20" s="221">
        <v>2022</v>
      </c>
      <c r="E20" s="221">
        <v>2021</v>
      </c>
      <c r="F20" s="222">
        <v>2020</v>
      </c>
      <c r="G20" s="61"/>
    </row>
    <row r="21" spans="1:7" ht="18.75" x14ac:dyDescent="0.3">
      <c r="A21" s="223" t="s">
        <v>145</v>
      </c>
      <c r="B21" s="224"/>
      <c r="C21" s="224"/>
      <c r="D21" s="224"/>
      <c r="E21" s="224"/>
      <c r="F21" s="219"/>
      <c r="G21" s="61"/>
    </row>
    <row r="22" spans="1:7" x14ac:dyDescent="0.25">
      <c r="A22" s="96" t="s">
        <v>221</v>
      </c>
      <c r="B22" s="101">
        <v>500000</v>
      </c>
      <c r="C22" s="101">
        <v>500000</v>
      </c>
      <c r="D22" s="118">
        <v>500000</v>
      </c>
      <c r="E22" s="101">
        <v>500000</v>
      </c>
      <c r="F22" s="101">
        <v>500000</v>
      </c>
      <c r="G22" s="61"/>
    </row>
    <row r="23" spans="1:7" x14ac:dyDescent="0.25">
      <c r="A23" s="96" t="s">
        <v>25</v>
      </c>
      <c r="B23" s="99">
        <v>286920</v>
      </c>
      <c r="C23" s="99">
        <v>286920</v>
      </c>
      <c r="D23" s="116">
        <v>286920</v>
      </c>
      <c r="E23" s="99">
        <v>286920</v>
      </c>
      <c r="F23" s="99">
        <v>286920</v>
      </c>
      <c r="G23" s="61"/>
    </row>
    <row r="24" spans="1:7" x14ac:dyDescent="0.25">
      <c r="A24" s="355" t="s">
        <v>222</v>
      </c>
      <c r="B24" s="99">
        <v>327000</v>
      </c>
      <c r="C24" s="99">
        <v>327000</v>
      </c>
      <c r="D24" s="116">
        <v>327000</v>
      </c>
      <c r="E24" s="99">
        <v>327000</v>
      </c>
      <c r="F24" s="99">
        <v>327000</v>
      </c>
      <c r="G24" s="61"/>
    </row>
    <row r="25" spans="1:7" x14ac:dyDescent="0.25">
      <c r="A25" s="357" t="s">
        <v>223</v>
      </c>
      <c r="B25" s="97">
        <v>3550096</v>
      </c>
      <c r="C25" s="97">
        <v>5775450</v>
      </c>
      <c r="D25" s="117">
        <v>3567555</v>
      </c>
      <c r="E25" s="97">
        <v>3332184</v>
      </c>
      <c r="F25" s="97">
        <v>2853561</v>
      </c>
      <c r="G25" s="61"/>
    </row>
    <row r="26" spans="1:7" x14ac:dyDescent="0.25">
      <c r="A26" s="357" t="s">
        <v>224</v>
      </c>
      <c r="B26" s="97">
        <v>8978222</v>
      </c>
      <c r="C26" s="97">
        <v>8148726</v>
      </c>
      <c r="D26" s="97">
        <v>7097094</v>
      </c>
      <c r="E26" s="97">
        <v>5065731</v>
      </c>
      <c r="F26" s="97">
        <v>4223043</v>
      </c>
      <c r="G26" s="61"/>
    </row>
    <row r="27" spans="1:7" x14ac:dyDescent="0.25">
      <c r="A27" s="357" t="s">
        <v>225</v>
      </c>
      <c r="B27" s="97">
        <v>13142238</v>
      </c>
      <c r="C27" s="97">
        <v>14538096</v>
      </c>
      <c r="D27" s="121">
        <v>11115953</v>
      </c>
      <c r="E27" s="97">
        <v>9011835</v>
      </c>
      <c r="F27" s="97">
        <v>7690524</v>
      </c>
      <c r="G27" s="61"/>
    </row>
    <row r="28" spans="1:7" ht="18.75" x14ac:dyDescent="0.3">
      <c r="A28" s="356" t="s">
        <v>148</v>
      </c>
      <c r="B28" s="217"/>
      <c r="C28" s="217"/>
      <c r="D28" s="217"/>
      <c r="E28" s="217"/>
      <c r="F28" s="217"/>
      <c r="G28" s="61"/>
    </row>
    <row r="29" spans="1:7" x14ac:dyDescent="0.25">
      <c r="A29" s="98" t="s">
        <v>93</v>
      </c>
      <c r="B29" s="111">
        <v>3989793</v>
      </c>
      <c r="C29" s="112">
        <v>3261715</v>
      </c>
      <c r="D29" s="346">
        <v>3577818</v>
      </c>
      <c r="E29" s="112">
        <v>1583318</v>
      </c>
      <c r="F29" s="113">
        <v>1362318</v>
      </c>
      <c r="G29" s="61"/>
    </row>
    <row r="30" spans="1:7" x14ac:dyDescent="0.25">
      <c r="A30" s="98" t="s">
        <v>226</v>
      </c>
      <c r="B30" s="98">
        <v>126222</v>
      </c>
      <c r="C30" s="102">
        <v>131854</v>
      </c>
      <c r="D30" s="347">
        <v>163089</v>
      </c>
      <c r="E30" s="102">
        <v>173045</v>
      </c>
      <c r="F30" s="109">
        <v>194325</v>
      </c>
      <c r="G30" s="61"/>
    </row>
    <row r="31" spans="1:7" x14ac:dyDescent="0.25">
      <c r="A31" s="98" t="s">
        <v>227</v>
      </c>
      <c r="B31" s="98">
        <v>143011</v>
      </c>
      <c r="C31" s="102">
        <v>140314</v>
      </c>
      <c r="D31" s="347">
        <v>146604</v>
      </c>
      <c r="E31" s="102">
        <v>226887</v>
      </c>
      <c r="F31" s="109">
        <v>278846</v>
      </c>
      <c r="G31" s="61"/>
    </row>
    <row r="32" spans="1:7" x14ac:dyDescent="0.25">
      <c r="A32" s="98" t="s">
        <v>228</v>
      </c>
      <c r="B32" s="98">
        <v>3018176</v>
      </c>
      <c r="C32" s="98">
        <v>3472814</v>
      </c>
      <c r="D32" s="348">
        <v>3102225</v>
      </c>
      <c r="E32" s="98">
        <v>1669930</v>
      </c>
      <c r="F32" s="109">
        <v>1317231</v>
      </c>
      <c r="G32" s="61"/>
    </row>
    <row r="33" spans="1:7" x14ac:dyDescent="0.25">
      <c r="A33" s="98" t="s">
        <v>229</v>
      </c>
      <c r="B33" s="98">
        <v>22132</v>
      </c>
      <c r="C33" s="102">
        <v>19965</v>
      </c>
      <c r="D33" s="347">
        <v>14843</v>
      </c>
      <c r="E33" s="102">
        <v>11467</v>
      </c>
      <c r="F33" s="109">
        <v>9631</v>
      </c>
      <c r="G33" s="61"/>
    </row>
    <row r="34" spans="1:7" x14ac:dyDescent="0.25">
      <c r="A34" s="119" t="s">
        <v>230</v>
      </c>
      <c r="B34" s="103">
        <v>49695</v>
      </c>
      <c r="C34" s="104">
        <v>76280</v>
      </c>
      <c r="D34" s="104">
        <v>417</v>
      </c>
      <c r="E34" s="104">
        <v>6204</v>
      </c>
      <c r="F34" s="110">
        <v>14693</v>
      </c>
      <c r="G34" s="61"/>
    </row>
    <row r="35" spans="1:7" x14ac:dyDescent="0.25">
      <c r="A35" s="119" t="s">
        <v>314</v>
      </c>
      <c r="B35" s="121">
        <v>7349029</v>
      </c>
      <c r="C35" s="122">
        <v>7102942</v>
      </c>
      <c r="D35" s="122">
        <v>7004996</v>
      </c>
      <c r="E35" s="122">
        <v>3670881</v>
      </c>
      <c r="F35" s="122">
        <v>3177044</v>
      </c>
      <c r="G35" s="61"/>
    </row>
    <row r="36" spans="1:7" ht="18.75" x14ac:dyDescent="0.3">
      <c r="A36" s="225" t="s">
        <v>152</v>
      </c>
      <c r="B36" s="217"/>
      <c r="C36" s="217"/>
      <c r="D36" s="217"/>
      <c r="E36" s="217"/>
      <c r="F36" s="217"/>
      <c r="G36" s="61"/>
    </row>
    <row r="37" spans="1:7" x14ac:dyDescent="0.25">
      <c r="A37" s="97" t="s">
        <v>34</v>
      </c>
      <c r="B37" s="97">
        <v>1483125</v>
      </c>
      <c r="C37" s="99">
        <v>3375789</v>
      </c>
      <c r="D37" s="349">
        <v>1225998</v>
      </c>
      <c r="E37" s="99">
        <v>950266</v>
      </c>
      <c r="F37" s="99">
        <v>942856</v>
      </c>
      <c r="G37" s="61"/>
    </row>
    <row r="38" spans="1:7" x14ac:dyDescent="0.25">
      <c r="A38" s="97" t="s">
        <v>231</v>
      </c>
      <c r="B38" s="97">
        <v>15679</v>
      </c>
      <c r="C38" s="99">
        <v>14572</v>
      </c>
      <c r="D38" s="99">
        <v>14607</v>
      </c>
      <c r="E38" s="99">
        <v>12353</v>
      </c>
      <c r="F38" s="99">
        <v>10539</v>
      </c>
      <c r="G38" s="61"/>
    </row>
    <row r="39" spans="1:7" x14ac:dyDescent="0.25">
      <c r="A39" s="97" t="s">
        <v>232</v>
      </c>
      <c r="B39" s="97">
        <v>8325008</v>
      </c>
      <c r="C39" s="99">
        <v>4871003</v>
      </c>
      <c r="D39" s="99">
        <v>4489508</v>
      </c>
      <c r="E39" s="99">
        <v>2466100</v>
      </c>
      <c r="F39" s="99">
        <v>2419737</v>
      </c>
      <c r="G39" s="61"/>
    </row>
    <row r="40" spans="1:7" x14ac:dyDescent="0.25">
      <c r="A40" s="97" t="s">
        <v>233</v>
      </c>
      <c r="B40" s="97">
        <v>939449</v>
      </c>
      <c r="C40" s="99">
        <v>1581737</v>
      </c>
      <c r="D40" s="122">
        <v>1052515</v>
      </c>
      <c r="E40" s="99">
        <v>862013</v>
      </c>
      <c r="F40" s="99">
        <v>649260</v>
      </c>
      <c r="G40" s="61"/>
    </row>
    <row r="41" spans="1:7" x14ac:dyDescent="0.25">
      <c r="A41" s="97" t="s">
        <v>315</v>
      </c>
      <c r="B41" s="121">
        <v>390372</v>
      </c>
      <c r="C41" s="122">
        <v>215849</v>
      </c>
      <c r="D41" s="122" t="s">
        <v>105</v>
      </c>
      <c r="E41" s="99" t="s">
        <v>105</v>
      </c>
      <c r="F41" s="99" t="s">
        <v>105</v>
      </c>
      <c r="G41" s="61"/>
    </row>
    <row r="42" spans="1:7" x14ac:dyDescent="0.25">
      <c r="A42" s="97" t="s">
        <v>310</v>
      </c>
      <c r="B42" s="121">
        <v>11153633</v>
      </c>
      <c r="C42" s="122">
        <v>9936728</v>
      </c>
      <c r="D42" s="122">
        <v>6782628</v>
      </c>
      <c r="E42" s="99">
        <v>4290732</v>
      </c>
      <c r="F42" s="99">
        <v>4022392</v>
      </c>
      <c r="G42" s="61"/>
    </row>
    <row r="43" spans="1:7" ht="15.75" x14ac:dyDescent="0.25">
      <c r="A43" s="226" t="s">
        <v>161</v>
      </c>
      <c r="B43" s="226">
        <v>31644900</v>
      </c>
      <c r="C43" s="345">
        <v>31577766</v>
      </c>
      <c r="D43" s="345">
        <v>24903577</v>
      </c>
      <c r="E43" s="345">
        <v>16973448</v>
      </c>
      <c r="F43" s="227">
        <v>14889960</v>
      </c>
      <c r="G43" s="61"/>
    </row>
    <row r="44" spans="1:7" x14ac:dyDescent="0.25">
      <c r="A44" s="114"/>
      <c r="B44" s="114"/>
      <c r="C44" s="114"/>
      <c r="D44" s="114"/>
      <c r="E44" s="114"/>
      <c r="F44" s="114"/>
      <c r="G44" s="61"/>
    </row>
    <row r="45" spans="1:7" x14ac:dyDescent="0.25">
      <c r="A45" s="100"/>
      <c r="B45" s="100"/>
      <c r="C45" s="100"/>
      <c r="D45" s="100"/>
      <c r="E45" s="100"/>
      <c r="F45" s="100"/>
      <c r="G45" s="61"/>
    </row>
    <row r="46" spans="1:7" ht="15.75" x14ac:dyDescent="0.25">
      <c r="A46" s="231" t="s">
        <v>162</v>
      </c>
      <c r="B46" s="228"/>
      <c r="C46" s="229">
        <v>2024</v>
      </c>
      <c r="D46" s="229">
        <v>2023</v>
      </c>
      <c r="E46" s="230">
        <v>2022</v>
      </c>
      <c r="F46" s="208">
        <v>2021</v>
      </c>
      <c r="G46" s="208">
        <v>2020</v>
      </c>
    </row>
    <row r="47" spans="1:7" x14ac:dyDescent="0.25">
      <c r="A47" s="224" t="s">
        <v>234</v>
      </c>
      <c r="B47" s="224"/>
      <c r="C47" s="341">
        <v>36824097</v>
      </c>
      <c r="D47" s="341">
        <v>29371617</v>
      </c>
      <c r="E47" s="239">
        <v>19274279</v>
      </c>
      <c r="F47" s="240">
        <v>18058031</v>
      </c>
      <c r="G47" s="342">
        <v>18055970</v>
      </c>
    </row>
    <row r="48" spans="1:7" x14ac:dyDescent="0.25">
      <c r="A48" s="98" t="s">
        <v>235</v>
      </c>
      <c r="B48" s="98"/>
      <c r="C48" s="98">
        <v>32274657</v>
      </c>
      <c r="D48" s="98">
        <v>26375717</v>
      </c>
      <c r="E48" s="96">
        <v>17094813</v>
      </c>
      <c r="F48" s="97">
        <v>16037086</v>
      </c>
      <c r="G48" s="121">
        <v>15929690</v>
      </c>
    </row>
    <row r="49" spans="1:7" x14ac:dyDescent="0.25">
      <c r="A49" s="98" t="s">
        <v>236</v>
      </c>
      <c r="B49" s="98"/>
      <c r="C49" s="102">
        <v>4549440</v>
      </c>
      <c r="D49" s="102">
        <v>2995900</v>
      </c>
      <c r="E49" s="106">
        <v>2179466</v>
      </c>
      <c r="F49" s="121">
        <v>2020945</v>
      </c>
      <c r="G49" s="121">
        <v>-2126280</v>
      </c>
    </row>
    <row r="50" spans="1:7" x14ac:dyDescent="0.25">
      <c r="A50" s="98" t="s">
        <v>45</v>
      </c>
      <c r="B50" s="98"/>
      <c r="C50" s="102">
        <v>30054086</v>
      </c>
      <c r="D50" s="102">
        <v>20188453</v>
      </c>
      <c r="E50" s="105">
        <v>14228117</v>
      </c>
      <c r="F50" s="121">
        <v>13912324</v>
      </c>
      <c r="G50" s="121">
        <v>-13040438</v>
      </c>
    </row>
    <row r="51" spans="1:7" x14ac:dyDescent="0.25">
      <c r="A51" s="224" t="s">
        <v>163</v>
      </c>
      <c r="B51" s="224"/>
      <c r="C51" s="236">
        <v>2220571</v>
      </c>
      <c r="D51" s="236">
        <v>6187264</v>
      </c>
      <c r="E51" s="237">
        <v>2866696</v>
      </c>
      <c r="F51" s="238">
        <v>2124762</v>
      </c>
      <c r="G51" s="238">
        <v>2889252</v>
      </c>
    </row>
    <row r="52" spans="1:7" x14ac:dyDescent="0.25">
      <c r="A52" s="98" t="s">
        <v>164</v>
      </c>
      <c r="B52" s="98"/>
      <c r="C52" s="102">
        <v>877883</v>
      </c>
      <c r="D52" s="102">
        <v>866016</v>
      </c>
      <c r="E52" s="105">
        <v>468970</v>
      </c>
      <c r="F52" s="121">
        <v>483464</v>
      </c>
      <c r="G52" s="121">
        <v>-696112</v>
      </c>
    </row>
    <row r="53" spans="1:7" x14ac:dyDescent="0.25">
      <c r="A53" s="98" t="s">
        <v>165</v>
      </c>
      <c r="B53" s="98"/>
      <c r="C53" s="102">
        <v>1198876</v>
      </c>
      <c r="D53" s="102">
        <v>1009375</v>
      </c>
      <c r="E53" s="120">
        <v>775172</v>
      </c>
      <c r="F53" s="116">
        <v>600855</v>
      </c>
      <c r="G53" s="117">
        <v>-580822</v>
      </c>
    </row>
    <row r="54" spans="1:7" x14ac:dyDescent="0.25">
      <c r="A54" s="98" t="s">
        <v>49</v>
      </c>
      <c r="B54" s="98"/>
      <c r="C54" s="102">
        <v>146366</v>
      </c>
      <c r="D54" s="102">
        <v>194967</v>
      </c>
      <c r="E54" s="106">
        <v>34145</v>
      </c>
      <c r="F54" s="122">
        <v>30207</v>
      </c>
      <c r="G54" s="122">
        <v>-53249</v>
      </c>
    </row>
    <row r="55" spans="1:7" x14ac:dyDescent="0.25">
      <c r="A55" s="98" t="s">
        <v>50</v>
      </c>
      <c r="B55" s="98"/>
      <c r="C55" s="102">
        <v>409700</v>
      </c>
      <c r="D55" s="102">
        <v>267688</v>
      </c>
      <c r="E55" s="105">
        <v>67013</v>
      </c>
      <c r="F55" s="121">
        <v>64436</v>
      </c>
      <c r="G55" s="121">
        <v>87503</v>
      </c>
    </row>
    <row r="56" spans="1:7" x14ac:dyDescent="0.25">
      <c r="A56" s="98" t="s">
        <v>166</v>
      </c>
      <c r="B56" s="98"/>
      <c r="C56" s="102">
        <v>258699</v>
      </c>
      <c r="D56" s="102">
        <v>4317648</v>
      </c>
      <c r="E56" s="105">
        <v>1618212</v>
      </c>
      <c r="F56" s="121">
        <v>993685</v>
      </c>
      <c r="G56" s="121">
        <v>1646572</v>
      </c>
    </row>
    <row r="57" spans="1:7" x14ac:dyDescent="0.25">
      <c r="A57" s="98" t="s">
        <v>167</v>
      </c>
      <c r="B57" s="98"/>
      <c r="C57" s="102">
        <v>4072519</v>
      </c>
      <c r="D57" s="102">
        <v>2738368</v>
      </c>
      <c r="E57" s="106">
        <v>1112778</v>
      </c>
      <c r="F57" s="122">
        <v>656337</v>
      </c>
      <c r="G57" s="122">
        <v>682843</v>
      </c>
    </row>
    <row r="58" spans="1:7" x14ac:dyDescent="0.25">
      <c r="A58" s="98" t="s">
        <v>168</v>
      </c>
      <c r="B58" s="98"/>
      <c r="C58" s="102"/>
      <c r="D58" s="102"/>
      <c r="E58" s="105"/>
      <c r="F58" s="121"/>
      <c r="G58" s="121"/>
    </row>
    <row r="59" spans="1:7" x14ac:dyDescent="0.25">
      <c r="A59" s="98" t="s">
        <v>171</v>
      </c>
      <c r="B59" s="98"/>
      <c r="C59" s="102">
        <v>4204191</v>
      </c>
      <c r="D59" s="102">
        <v>1278455</v>
      </c>
      <c r="E59" s="105">
        <v>505434</v>
      </c>
      <c r="F59" s="122">
        <v>337348</v>
      </c>
      <c r="G59" s="122">
        <v>742671</v>
      </c>
    </row>
    <row r="60" spans="1:7" x14ac:dyDescent="0.25">
      <c r="A60" s="98" t="s">
        <v>57</v>
      </c>
      <c r="B60" s="98"/>
      <c r="C60" s="102">
        <v>1566943</v>
      </c>
      <c r="D60" s="102">
        <v>420684</v>
      </c>
      <c r="E60" s="105">
        <v>461886</v>
      </c>
      <c r="F60" s="121">
        <v>26967</v>
      </c>
      <c r="G60" s="121">
        <v>3444</v>
      </c>
    </row>
    <row r="61" spans="1:7" x14ac:dyDescent="0.25">
      <c r="A61" s="218" t="s">
        <v>172</v>
      </c>
      <c r="B61" s="232"/>
      <c r="C61" s="233">
        <v>2637248</v>
      </c>
      <c r="D61" s="233">
        <v>1699139</v>
      </c>
      <c r="E61" s="234">
        <v>43548</v>
      </c>
      <c r="F61" s="235">
        <v>310381</v>
      </c>
      <c r="G61" s="235">
        <v>746115</v>
      </c>
    </row>
    <row r="62" spans="1:7" x14ac:dyDescent="0.25">
      <c r="A62" s="532" t="s">
        <v>174</v>
      </c>
      <c r="B62" s="533"/>
      <c r="C62" s="102">
        <v>91.92</v>
      </c>
      <c r="D62" s="102">
        <v>59.22</v>
      </c>
      <c r="E62" s="96">
        <v>1.52</v>
      </c>
      <c r="F62" s="97">
        <v>10.82</v>
      </c>
      <c r="G62" s="97">
        <v>26</v>
      </c>
    </row>
    <row r="63" spans="1:7" x14ac:dyDescent="0.25">
      <c r="A63" s="61"/>
      <c r="B63" s="61"/>
      <c r="C63" s="61"/>
      <c r="D63" s="61"/>
      <c r="E63" s="61"/>
      <c r="F63" s="61"/>
      <c r="G63" s="61"/>
    </row>
    <row r="64" spans="1:7" x14ac:dyDescent="0.25">
      <c r="A64" s="107"/>
      <c r="B64" s="100"/>
      <c r="C64" s="100"/>
      <c r="D64" s="100"/>
      <c r="E64" s="100"/>
      <c r="F64" s="100"/>
      <c r="G64" s="61"/>
    </row>
    <row r="65" spans="1:11" x14ac:dyDescent="0.25">
      <c r="A65" s="241" t="s">
        <v>175</v>
      </c>
      <c r="B65" s="243">
        <v>2020</v>
      </c>
      <c r="C65" s="208">
        <v>2021</v>
      </c>
      <c r="D65" s="208">
        <v>2022</v>
      </c>
      <c r="E65" s="208">
        <v>2023</v>
      </c>
      <c r="F65" s="242">
        <v>2024</v>
      </c>
      <c r="G65" s="61"/>
      <c r="H65" s="358"/>
      <c r="I65" s="358"/>
    </row>
    <row r="66" spans="1:11" x14ac:dyDescent="0.25">
      <c r="A66" s="244" t="s">
        <v>176</v>
      </c>
      <c r="B66" s="246"/>
      <c r="C66" s="246"/>
      <c r="D66" s="246"/>
      <c r="E66" s="246"/>
      <c r="F66" s="245"/>
      <c r="G66" s="61"/>
      <c r="H66" s="359"/>
      <c r="I66" s="359"/>
    </row>
    <row r="67" spans="1:11" x14ac:dyDescent="0.25">
      <c r="A67" s="98" t="s">
        <v>177</v>
      </c>
      <c r="B67" s="248">
        <v>1.0900000000000001</v>
      </c>
      <c r="C67" s="248">
        <v>0.96</v>
      </c>
      <c r="D67" s="248">
        <v>0.87</v>
      </c>
      <c r="E67" s="248">
        <v>1.02</v>
      </c>
      <c r="F67" s="247">
        <v>0.73</v>
      </c>
      <c r="G67" s="61"/>
      <c r="H67" s="359"/>
      <c r="I67" s="359"/>
    </row>
    <row r="68" spans="1:11" x14ac:dyDescent="0.25">
      <c r="A68" s="98" t="s">
        <v>178</v>
      </c>
      <c r="B68" s="250">
        <v>0.78</v>
      </c>
      <c r="C68" s="250">
        <v>0.65</v>
      </c>
      <c r="D68" s="250">
        <v>0.37</v>
      </c>
      <c r="E68" s="250">
        <v>0.5</v>
      </c>
      <c r="F68" s="249">
        <v>0.37</v>
      </c>
      <c r="G68" s="61"/>
      <c r="H68" s="359"/>
      <c r="I68" s="359"/>
    </row>
    <row r="69" spans="1:11" x14ac:dyDescent="0.25">
      <c r="A69" s="244" t="s">
        <v>179</v>
      </c>
      <c r="B69" s="246"/>
      <c r="C69" s="246"/>
      <c r="D69" s="246"/>
      <c r="E69" s="246"/>
      <c r="F69" s="245"/>
      <c r="G69" s="61"/>
      <c r="H69" s="359"/>
      <c r="I69" s="359"/>
    </row>
    <row r="70" spans="1:11" x14ac:dyDescent="0.25">
      <c r="A70" s="98" t="s">
        <v>180</v>
      </c>
      <c r="B70" s="252">
        <v>10.51</v>
      </c>
      <c r="C70" s="252">
        <v>10.71</v>
      </c>
      <c r="D70" s="252">
        <v>6.01</v>
      </c>
      <c r="E70" s="252">
        <v>4.72</v>
      </c>
      <c r="F70" s="251">
        <v>6.56</v>
      </c>
      <c r="G70" s="61"/>
      <c r="H70" s="359"/>
      <c r="I70" s="359"/>
    </row>
    <row r="71" spans="1:11" x14ac:dyDescent="0.25">
      <c r="A71" s="98" t="s">
        <v>181</v>
      </c>
      <c r="B71" s="352" t="s">
        <v>320</v>
      </c>
      <c r="C71" s="352" t="s">
        <v>319</v>
      </c>
      <c r="D71" s="352" t="s">
        <v>318</v>
      </c>
      <c r="E71" s="352" t="s">
        <v>317</v>
      </c>
      <c r="F71" s="351" t="s">
        <v>316</v>
      </c>
      <c r="G71" s="61"/>
      <c r="H71" s="360"/>
      <c r="I71" s="360"/>
    </row>
    <row r="72" spans="1:11" x14ac:dyDescent="0.25">
      <c r="A72" s="98" t="s">
        <v>350</v>
      </c>
      <c r="B72" s="352">
        <v>111.36</v>
      </c>
      <c r="C72" s="352">
        <v>41.93</v>
      </c>
      <c r="D72" s="352">
        <v>59.19</v>
      </c>
      <c r="E72" s="352">
        <v>47.41</v>
      </c>
      <c r="F72" s="457">
        <v>43.31</v>
      </c>
      <c r="G72" s="458"/>
      <c r="H72" s="360"/>
      <c r="I72" s="360"/>
      <c r="J72" s="360"/>
      <c r="K72" s="360"/>
    </row>
    <row r="73" spans="1:11" x14ac:dyDescent="0.25">
      <c r="A73" s="98" t="s">
        <v>351</v>
      </c>
      <c r="B73" s="352">
        <v>12.37</v>
      </c>
      <c r="C73" s="352">
        <v>8.77</v>
      </c>
      <c r="D73" s="352">
        <v>13.08</v>
      </c>
      <c r="E73" s="352">
        <v>14.7</v>
      </c>
      <c r="F73" s="351">
        <v>13.38</v>
      </c>
      <c r="G73" s="61"/>
      <c r="H73" s="360"/>
      <c r="I73" s="360"/>
    </row>
    <row r="74" spans="1:11" x14ac:dyDescent="0.25">
      <c r="A74" s="98" t="s">
        <v>352</v>
      </c>
      <c r="B74" s="352">
        <v>28.46</v>
      </c>
      <c r="C74" s="352">
        <v>30.38</v>
      </c>
      <c r="D74" s="352">
        <v>72.17</v>
      </c>
      <c r="E74" s="352">
        <v>71.650000000000006</v>
      </c>
      <c r="F74" s="351">
        <v>45.11</v>
      </c>
      <c r="G74" s="61"/>
      <c r="H74" s="360"/>
      <c r="I74" s="360"/>
    </row>
    <row r="75" spans="1:11" x14ac:dyDescent="0.25">
      <c r="A75" s="98" t="s">
        <v>353</v>
      </c>
      <c r="B75" s="352">
        <v>21.6</v>
      </c>
      <c r="C75" s="352">
        <v>21.63</v>
      </c>
      <c r="D75" s="352">
        <v>26.18</v>
      </c>
      <c r="E75" s="352">
        <v>46.72</v>
      </c>
      <c r="F75" s="351">
        <v>16.77</v>
      </c>
      <c r="G75" s="61"/>
      <c r="H75" s="360"/>
      <c r="I75" s="360"/>
    </row>
    <row r="76" spans="1:11" x14ac:dyDescent="0.25">
      <c r="A76" s="98" t="s">
        <v>354</v>
      </c>
      <c r="B76" s="352">
        <v>10.130000000000001</v>
      </c>
      <c r="C76" s="352">
        <v>21.34</v>
      </c>
      <c r="D76" s="352">
        <v>46.93</v>
      </c>
      <c r="E76" s="352">
        <v>41.74</v>
      </c>
      <c r="F76" s="351">
        <v>31.46</v>
      </c>
      <c r="G76" s="61"/>
      <c r="H76" s="360"/>
      <c r="I76" s="360"/>
    </row>
    <row r="77" spans="1:11" x14ac:dyDescent="0.25">
      <c r="A77" s="98" t="s">
        <v>182</v>
      </c>
      <c r="B77" s="352">
        <v>1.52</v>
      </c>
      <c r="C77" s="352">
        <v>1.25</v>
      </c>
      <c r="D77" s="352">
        <v>0.9</v>
      </c>
      <c r="E77" s="352">
        <v>1.22</v>
      </c>
      <c r="F77" s="351">
        <v>1.37</v>
      </c>
      <c r="G77" s="61"/>
      <c r="H77" s="360"/>
      <c r="I77" s="360"/>
    </row>
    <row r="78" spans="1:11" x14ac:dyDescent="0.25">
      <c r="A78" s="98" t="s">
        <v>183</v>
      </c>
      <c r="B78" s="252">
        <v>1.07</v>
      </c>
      <c r="C78" s="252">
        <v>0.94</v>
      </c>
      <c r="D78" s="252">
        <v>0.69</v>
      </c>
      <c r="E78" s="252">
        <v>0.84</v>
      </c>
      <c r="F78" s="251">
        <v>1.02</v>
      </c>
      <c r="G78" s="61"/>
      <c r="H78" s="359"/>
      <c r="I78" s="359"/>
    </row>
    <row r="79" spans="1:11" x14ac:dyDescent="0.25">
      <c r="A79" s="244" t="s">
        <v>184</v>
      </c>
      <c r="B79" s="246"/>
      <c r="C79" s="246"/>
      <c r="D79" s="246"/>
      <c r="E79" s="246"/>
      <c r="F79" s="245"/>
      <c r="G79" s="61"/>
      <c r="H79" s="359"/>
      <c r="I79" s="359"/>
    </row>
    <row r="80" spans="1:11" x14ac:dyDescent="0.25">
      <c r="A80" s="98" t="s">
        <v>185</v>
      </c>
      <c r="B80" s="354">
        <v>0.49199999999999999</v>
      </c>
      <c r="C80" s="354">
        <v>0.47099999999999997</v>
      </c>
      <c r="D80" s="354">
        <v>0.55900000000000005</v>
      </c>
      <c r="E80" s="354">
        <v>0.52100000000000002</v>
      </c>
      <c r="F80" s="353">
        <v>0.58599999999999997</v>
      </c>
      <c r="G80" s="61"/>
      <c r="H80" s="361"/>
      <c r="I80" s="361"/>
    </row>
    <row r="81" spans="1:9" x14ac:dyDescent="0.25">
      <c r="A81" s="98" t="s">
        <v>355</v>
      </c>
      <c r="B81" s="354">
        <v>0.48</v>
      </c>
      <c r="C81" s="354">
        <v>0.47</v>
      </c>
      <c r="D81" s="354">
        <v>0.55000000000000004</v>
      </c>
      <c r="E81" s="354">
        <v>0.54</v>
      </c>
      <c r="F81" s="353">
        <v>0.57999999999999996</v>
      </c>
      <c r="G81" s="61"/>
      <c r="H81" s="361"/>
      <c r="I81" s="361"/>
    </row>
    <row r="82" spans="1:9" x14ac:dyDescent="0.25">
      <c r="A82" s="453" t="s">
        <v>343</v>
      </c>
      <c r="B82" s="454">
        <v>0.94</v>
      </c>
      <c r="C82" s="454">
        <v>0.88</v>
      </c>
      <c r="D82" s="454">
        <v>1.24</v>
      </c>
      <c r="E82" s="454">
        <v>1.17</v>
      </c>
      <c r="F82" s="455">
        <v>1.41</v>
      </c>
      <c r="G82" s="61"/>
      <c r="H82" s="463"/>
      <c r="I82" s="463"/>
    </row>
    <row r="83" spans="1:9" x14ac:dyDescent="0.25">
      <c r="A83" s="98" t="s">
        <v>356</v>
      </c>
      <c r="B83" s="354">
        <v>0.09</v>
      </c>
      <c r="C83" s="354">
        <v>0.09</v>
      </c>
      <c r="D83" s="354">
        <v>0.14000000000000001</v>
      </c>
      <c r="E83" s="354">
        <v>0.1</v>
      </c>
      <c r="F83" s="353">
        <v>0.13</v>
      </c>
      <c r="G83" s="61"/>
      <c r="H83" s="361"/>
      <c r="I83" s="361"/>
    </row>
    <row r="84" spans="1:9" x14ac:dyDescent="0.25">
      <c r="A84" s="98" t="s">
        <v>186</v>
      </c>
      <c r="B84" s="254">
        <v>2.41</v>
      </c>
      <c r="C84" s="254">
        <v>1.51</v>
      </c>
      <c r="D84" s="254">
        <v>1.45</v>
      </c>
      <c r="E84" s="254">
        <v>1.58</v>
      </c>
      <c r="F84" s="253">
        <v>0.06</v>
      </c>
      <c r="G84" s="61"/>
      <c r="H84" s="359"/>
      <c r="I84" s="359"/>
    </row>
    <row r="85" spans="1:9" x14ac:dyDescent="0.25">
      <c r="A85" s="244" t="s">
        <v>237</v>
      </c>
      <c r="B85" s="246"/>
      <c r="C85" s="246"/>
      <c r="D85" s="246"/>
      <c r="E85" s="246"/>
      <c r="F85" s="245"/>
      <c r="G85" s="61"/>
      <c r="H85" s="359"/>
      <c r="I85" s="359"/>
    </row>
    <row r="86" spans="1:9" x14ac:dyDescent="0.25">
      <c r="A86" s="98" t="s">
        <v>187</v>
      </c>
      <c r="B86" s="256">
        <v>0.10340000000000001</v>
      </c>
      <c r="C86" s="256">
        <v>6.2E-2</v>
      </c>
      <c r="D86" s="256">
        <v>9.4700000000000006E-2</v>
      </c>
      <c r="E86" s="256">
        <v>0.16370000000000001</v>
      </c>
      <c r="F86" s="255">
        <v>8.0000000000000002E-3</v>
      </c>
      <c r="G86" s="61"/>
      <c r="H86" s="361"/>
      <c r="I86" s="361"/>
    </row>
    <row r="87" spans="1:9" x14ac:dyDescent="0.25">
      <c r="A87" s="98" t="s">
        <v>188</v>
      </c>
      <c r="B87" s="258">
        <v>4.6800000000000001E-2</v>
      </c>
      <c r="C87" s="258">
        <v>1.9400000000000001E-2</v>
      </c>
      <c r="D87" s="258">
        <v>2.5000000000000001E-3</v>
      </c>
      <c r="E87" s="258">
        <v>6.4399999999999999E-2</v>
      </c>
      <c r="F87" s="257">
        <v>8.1699999999999995E-2</v>
      </c>
      <c r="G87" s="61"/>
      <c r="H87" s="361"/>
      <c r="I87" s="361"/>
    </row>
    <row r="88" spans="1:9" x14ac:dyDescent="0.25">
      <c r="A88" s="98" t="s">
        <v>189</v>
      </c>
      <c r="B88" s="258">
        <v>5.0099999999999999E-2</v>
      </c>
      <c r="C88" s="258">
        <v>1.83E-2</v>
      </c>
      <c r="D88" s="258">
        <v>1.6999999999999999E-3</v>
      </c>
      <c r="E88" s="258">
        <v>5.3800000000000001E-2</v>
      </c>
      <c r="F88" s="257">
        <v>8.3299999999999999E-2</v>
      </c>
      <c r="G88" s="61"/>
      <c r="H88" s="361"/>
      <c r="I88" s="361"/>
    </row>
    <row r="89" spans="1:9" x14ac:dyDescent="0.25">
      <c r="A89" s="98" t="s">
        <v>197</v>
      </c>
      <c r="B89" s="256">
        <v>9.7000000000000003E-2</v>
      </c>
      <c r="C89" s="256">
        <v>3.44E-2</v>
      </c>
      <c r="D89" s="256">
        <v>3.8999999999999998E-3</v>
      </c>
      <c r="E89" s="256">
        <v>0.1169</v>
      </c>
      <c r="F89" s="255">
        <v>0.20069999999999999</v>
      </c>
      <c r="G89" s="61"/>
      <c r="H89" s="361"/>
      <c r="I89" s="361"/>
    </row>
    <row r="90" spans="1:9" x14ac:dyDescent="0.25">
      <c r="A90" s="98" t="s">
        <v>190</v>
      </c>
      <c r="B90" s="258">
        <v>0.1082</v>
      </c>
      <c r="C90" s="258">
        <v>6.5199999999999994E-2</v>
      </c>
      <c r="D90" s="261">
        <v>5.8999999999999997E-2</v>
      </c>
      <c r="E90" s="260">
        <v>0.13420000000000001</v>
      </c>
      <c r="F90" s="259">
        <v>7.9000000000000008E-3</v>
      </c>
      <c r="G90" s="61"/>
      <c r="H90" s="362"/>
      <c r="I90" s="362"/>
    </row>
    <row r="91" spans="1:9" x14ac:dyDescent="0.25">
      <c r="A91" s="98" t="s">
        <v>191</v>
      </c>
      <c r="B91" s="260">
        <v>0.1106</v>
      </c>
      <c r="C91" s="260">
        <v>5.8500000000000003E-2</v>
      </c>
      <c r="D91" s="261">
        <v>6.5000000000000002E-2</v>
      </c>
      <c r="E91" s="260">
        <v>0.13669999999999999</v>
      </c>
      <c r="F91" s="259">
        <v>8.2000000000000007E-3</v>
      </c>
      <c r="G91" s="61"/>
      <c r="H91" s="362"/>
      <c r="I91" s="362"/>
    </row>
    <row r="92" spans="1:9" x14ac:dyDescent="0.25">
      <c r="A92" s="244" t="s">
        <v>192</v>
      </c>
      <c r="B92" s="246"/>
      <c r="C92" s="246"/>
      <c r="D92" s="246"/>
      <c r="E92" s="246"/>
      <c r="F92" s="245"/>
      <c r="G92" s="61"/>
      <c r="H92" s="359"/>
      <c r="I92" s="359"/>
    </row>
    <row r="93" spans="1:9" ht="15" customHeight="1" x14ac:dyDescent="0.25">
      <c r="A93" s="98" t="s">
        <v>193</v>
      </c>
      <c r="B93" s="263">
        <v>3.58</v>
      </c>
      <c r="C93" s="263">
        <v>8.68</v>
      </c>
      <c r="D93" s="264">
        <v>51.97</v>
      </c>
      <c r="E93" s="263">
        <v>1.1100000000000001</v>
      </c>
      <c r="F93" s="262">
        <v>-0.73</v>
      </c>
      <c r="G93" s="61"/>
      <c r="H93" s="363"/>
      <c r="I93" s="363"/>
    </row>
    <row r="94" spans="1:9" x14ac:dyDescent="0.25">
      <c r="A94" s="98" t="s">
        <v>194</v>
      </c>
      <c r="B94" s="263">
        <v>0.35</v>
      </c>
      <c r="C94" s="263">
        <v>0.3</v>
      </c>
      <c r="D94" s="264">
        <v>0.2</v>
      </c>
      <c r="E94" s="263">
        <v>0.43</v>
      </c>
      <c r="F94" s="262">
        <v>0.76</v>
      </c>
      <c r="G94" s="61"/>
      <c r="H94" s="363"/>
      <c r="I94" s="363"/>
    </row>
    <row r="95" spans="1:9" x14ac:dyDescent="0.25">
      <c r="A95" s="98" t="s">
        <v>331</v>
      </c>
      <c r="B95" s="464">
        <v>5.3800000000000001E-2</v>
      </c>
      <c r="C95" s="464">
        <v>5.33E-2</v>
      </c>
      <c r="D95" s="467">
        <v>0</v>
      </c>
      <c r="E95" s="464">
        <v>7.5800000000000006E-2</v>
      </c>
      <c r="F95" s="468">
        <v>0</v>
      </c>
      <c r="G95" s="61"/>
      <c r="H95" s="363"/>
      <c r="I95" s="363"/>
    </row>
    <row r="96" spans="1:9" x14ac:dyDescent="0.25">
      <c r="A96" s="98" t="s">
        <v>332</v>
      </c>
      <c r="B96" s="464">
        <v>0.1923</v>
      </c>
      <c r="C96" s="464">
        <v>0.46210000000000001</v>
      </c>
      <c r="D96" s="467">
        <v>0</v>
      </c>
      <c r="E96" s="464">
        <v>8.4400000000000003E-2</v>
      </c>
      <c r="F96" s="468">
        <v>0</v>
      </c>
      <c r="G96" s="61"/>
      <c r="H96" s="363"/>
      <c r="I96" s="363"/>
    </row>
    <row r="97" spans="1:9" ht="15" customHeight="1" x14ac:dyDescent="0.25">
      <c r="A97" s="98" t="s">
        <v>357</v>
      </c>
      <c r="B97" s="263">
        <v>5.2</v>
      </c>
      <c r="C97" s="263">
        <v>2.16</v>
      </c>
      <c r="D97" s="469" t="s">
        <v>206</v>
      </c>
      <c r="E97" s="263">
        <v>11.84</v>
      </c>
      <c r="F97" s="470" t="s">
        <v>360</v>
      </c>
      <c r="G97" s="61"/>
      <c r="H97" s="363"/>
      <c r="I97" s="363"/>
    </row>
    <row r="98" spans="1:9" x14ac:dyDescent="0.25">
      <c r="A98" s="98" t="s">
        <v>195</v>
      </c>
      <c r="B98" s="263">
        <v>4.92</v>
      </c>
      <c r="C98" s="263">
        <v>8.3699999999999992</v>
      </c>
      <c r="D98" s="264">
        <v>7.92</v>
      </c>
      <c r="E98" s="263">
        <v>4.7300000000000004</v>
      </c>
      <c r="F98" s="262">
        <v>15.02</v>
      </c>
      <c r="G98" s="61"/>
      <c r="H98" s="363"/>
      <c r="I98" s="363"/>
    </row>
    <row r="99" spans="1:9" x14ac:dyDescent="0.25">
      <c r="A99" s="61"/>
      <c r="B99" s="61"/>
      <c r="C99" s="61"/>
      <c r="D99" s="61"/>
      <c r="E99" s="61"/>
      <c r="F99" s="61"/>
      <c r="G99" s="61"/>
    </row>
    <row r="100" spans="1:9" x14ac:dyDescent="0.25">
      <c r="A100" s="61"/>
      <c r="B100" s="61"/>
      <c r="C100" s="61"/>
      <c r="D100" s="61"/>
      <c r="E100" s="61"/>
      <c r="F100" s="61"/>
      <c r="G100" s="61"/>
    </row>
    <row r="101" spans="1:9" ht="21" x14ac:dyDescent="0.35">
      <c r="A101" s="534" t="s">
        <v>198</v>
      </c>
      <c r="B101" s="535"/>
      <c r="C101" s="535"/>
      <c r="D101" s="535"/>
      <c r="E101" s="535"/>
      <c r="F101" s="535"/>
      <c r="G101" s="535"/>
    </row>
    <row r="102" spans="1:9" x14ac:dyDescent="0.25">
      <c r="A102" s="314"/>
      <c r="B102" s="314" t="s">
        <v>309</v>
      </c>
      <c r="C102" s="314">
        <v>2024</v>
      </c>
      <c r="D102" s="314">
        <v>2023</v>
      </c>
      <c r="E102" s="314">
        <v>2022</v>
      </c>
      <c r="F102" s="314">
        <v>2021</v>
      </c>
      <c r="G102" s="315">
        <v>2020</v>
      </c>
    </row>
    <row r="103" spans="1:9" x14ac:dyDescent="0.25">
      <c r="A103" s="316" t="s">
        <v>200</v>
      </c>
      <c r="B103" s="316" t="s">
        <v>201</v>
      </c>
      <c r="C103" s="316">
        <v>-91.92</v>
      </c>
      <c r="D103" s="316">
        <v>59.22</v>
      </c>
      <c r="E103" s="316">
        <v>1.52</v>
      </c>
      <c r="F103" s="316">
        <v>10.82</v>
      </c>
      <c r="G103" s="316">
        <v>26</v>
      </c>
    </row>
    <row r="104" spans="1:9" x14ac:dyDescent="0.25">
      <c r="A104" s="316" t="s">
        <v>313</v>
      </c>
      <c r="B104" s="316" t="s">
        <v>201</v>
      </c>
      <c r="C104" s="316">
        <v>66.77</v>
      </c>
      <c r="D104" s="316">
        <v>66</v>
      </c>
      <c r="E104" s="316">
        <v>79</v>
      </c>
      <c r="F104" s="316">
        <v>93.89</v>
      </c>
      <c r="G104" s="316">
        <v>93</v>
      </c>
    </row>
    <row r="105" spans="1:9" x14ac:dyDescent="0.25">
      <c r="A105" s="316" t="s">
        <v>358</v>
      </c>
      <c r="B105" s="316" t="s">
        <v>201</v>
      </c>
      <c r="C105" s="316">
        <v>0</v>
      </c>
      <c r="D105" s="316">
        <v>5</v>
      </c>
      <c r="E105" s="316">
        <v>0</v>
      </c>
      <c r="F105" s="316">
        <v>5</v>
      </c>
      <c r="G105" s="316">
        <v>5</v>
      </c>
    </row>
    <row r="106" spans="1:9" x14ac:dyDescent="0.25">
      <c r="A106" s="316" t="s">
        <v>202</v>
      </c>
      <c r="B106" s="316" t="s">
        <v>201</v>
      </c>
      <c r="C106" s="316" t="s">
        <v>288</v>
      </c>
      <c r="D106" s="316" t="s">
        <v>288</v>
      </c>
      <c r="E106" s="316">
        <v>387.42</v>
      </c>
      <c r="F106" s="316">
        <v>314.08999999999997</v>
      </c>
      <c r="G106" s="316">
        <v>268.04000000000002</v>
      </c>
    </row>
    <row r="107" spans="1:9" x14ac:dyDescent="0.25">
      <c r="A107" s="316" t="s">
        <v>312</v>
      </c>
      <c r="B107" s="316" t="s">
        <v>304</v>
      </c>
      <c r="C107" s="317">
        <v>1541456</v>
      </c>
      <c r="D107" s="317">
        <v>1319979</v>
      </c>
      <c r="E107" s="317">
        <v>1035010</v>
      </c>
      <c r="F107" s="317">
        <v>901291</v>
      </c>
      <c r="G107" s="317">
        <v>791811</v>
      </c>
    </row>
    <row r="108" spans="1:9" x14ac:dyDescent="0.25">
      <c r="A108" s="316" t="s">
        <v>311</v>
      </c>
      <c r="B108" s="316" t="s">
        <v>304</v>
      </c>
      <c r="C108" s="317">
        <v>-26585</v>
      </c>
      <c r="D108" s="317">
        <v>-23946</v>
      </c>
      <c r="E108" s="317">
        <v>-5787</v>
      </c>
      <c r="F108" s="317">
        <v>-11465</v>
      </c>
      <c r="G108" s="317">
        <v>-171</v>
      </c>
    </row>
  </sheetData>
  <mergeCells count="2">
    <mergeCell ref="A62:B62"/>
    <mergeCell ref="A101:G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7DD5-5F47-4F61-906B-E2088D9B1E56}">
  <dimension ref="A1:J121"/>
  <sheetViews>
    <sheetView tabSelected="1" topLeftCell="A106" zoomScale="85" zoomScaleNormal="55" workbookViewId="0">
      <selection activeCell="C99" sqref="C99:G99"/>
    </sheetView>
  </sheetViews>
  <sheetFormatPr defaultRowHeight="15" x14ac:dyDescent="0.25"/>
  <cols>
    <col min="1" max="1" width="49.7109375" bestFit="1" customWidth="1"/>
    <col min="2" max="2" width="12.5703125" customWidth="1"/>
    <col min="3" max="3" width="17.140625" customWidth="1"/>
    <col min="4" max="4" width="16.5703125" customWidth="1"/>
    <col min="5" max="5" width="17.140625" customWidth="1"/>
    <col min="6" max="6" width="15.5703125" customWidth="1"/>
    <col min="7" max="7" width="16.140625" customWidth="1"/>
  </cols>
  <sheetData>
    <row r="1" spans="1:7" ht="18.75" x14ac:dyDescent="0.3">
      <c r="A1" s="11" t="s">
        <v>196</v>
      </c>
      <c r="B1" s="12"/>
      <c r="C1" s="12"/>
      <c r="D1" s="12"/>
      <c r="E1" s="12"/>
      <c r="F1" s="12"/>
      <c r="G1" s="12"/>
    </row>
    <row r="2" spans="1:7" x14ac:dyDescent="0.25">
      <c r="A2" s="15" t="s">
        <v>127</v>
      </c>
      <c r="B2" s="16"/>
      <c r="C2" s="17">
        <v>2024</v>
      </c>
      <c r="D2" s="17">
        <v>2023</v>
      </c>
      <c r="E2" s="17">
        <v>2022</v>
      </c>
      <c r="F2" s="17">
        <v>2021</v>
      </c>
      <c r="G2" s="17">
        <v>2020</v>
      </c>
    </row>
    <row r="3" spans="1:7" x14ac:dyDescent="0.25">
      <c r="A3" s="18"/>
      <c r="B3" s="18"/>
      <c r="C3" s="18"/>
      <c r="D3" s="18"/>
      <c r="E3" s="18"/>
      <c r="F3" s="18"/>
      <c r="G3" s="18"/>
    </row>
    <row r="4" spans="1:7" x14ac:dyDescent="0.25">
      <c r="A4" s="19" t="s">
        <v>2</v>
      </c>
      <c r="B4" s="20"/>
      <c r="C4" s="20"/>
      <c r="D4" s="20"/>
      <c r="E4" s="20"/>
      <c r="F4" s="20"/>
      <c r="G4" s="20"/>
    </row>
    <row r="5" spans="1:7" x14ac:dyDescent="0.25">
      <c r="A5" s="13" t="s">
        <v>128</v>
      </c>
      <c r="B5" s="13"/>
      <c r="C5" s="13"/>
      <c r="D5" s="13"/>
      <c r="E5" s="13"/>
      <c r="F5" s="13"/>
      <c r="G5" s="13"/>
    </row>
    <row r="6" spans="1:7" x14ac:dyDescent="0.25">
      <c r="A6" s="14" t="s">
        <v>129</v>
      </c>
      <c r="B6" s="14"/>
      <c r="C6" s="21">
        <v>6633113</v>
      </c>
      <c r="D6" s="21">
        <v>6846091</v>
      </c>
      <c r="E6" s="21">
        <v>5781475</v>
      </c>
      <c r="F6" s="21">
        <v>3469425</v>
      </c>
      <c r="G6" s="21">
        <v>2618489</v>
      </c>
    </row>
    <row r="7" spans="1:7" x14ac:dyDescent="0.25">
      <c r="A7" s="14" t="s">
        <v>130</v>
      </c>
      <c r="B7" s="14"/>
      <c r="C7" s="14"/>
      <c r="D7" s="14"/>
      <c r="E7" s="14" t="s">
        <v>105</v>
      </c>
      <c r="F7" s="21">
        <v>1018</v>
      </c>
      <c r="G7" s="21">
        <v>2828</v>
      </c>
    </row>
    <row r="8" spans="1:7" x14ac:dyDescent="0.25">
      <c r="A8" s="14" t="s">
        <v>131</v>
      </c>
      <c r="B8" s="14"/>
      <c r="C8" s="21">
        <v>1436726</v>
      </c>
      <c r="D8" s="21">
        <v>2362945</v>
      </c>
      <c r="E8" s="21">
        <v>1698668</v>
      </c>
      <c r="F8" s="21">
        <v>1810999</v>
      </c>
      <c r="G8" s="21">
        <v>1780538</v>
      </c>
    </row>
    <row r="9" spans="1:7" x14ac:dyDescent="0.25">
      <c r="A9" s="14" t="s">
        <v>132</v>
      </c>
      <c r="B9" s="14"/>
      <c r="C9" s="21">
        <v>6168</v>
      </c>
      <c r="D9" s="21">
        <v>27654</v>
      </c>
      <c r="E9" s="21">
        <v>29350</v>
      </c>
      <c r="F9" s="21">
        <v>26422</v>
      </c>
      <c r="G9" s="21">
        <v>12278</v>
      </c>
    </row>
    <row r="10" spans="1:7" x14ac:dyDescent="0.25">
      <c r="A10" s="14" t="s">
        <v>133</v>
      </c>
      <c r="B10" s="14"/>
      <c r="C10" s="21">
        <v>209515</v>
      </c>
      <c r="D10" s="14"/>
      <c r="E10" s="21">
        <v>51802</v>
      </c>
      <c r="F10" s="14" t="s">
        <v>105</v>
      </c>
      <c r="G10" s="14"/>
    </row>
    <row r="11" spans="1:7" x14ac:dyDescent="0.25">
      <c r="A11" s="14"/>
      <c r="B11" s="14"/>
      <c r="C11" s="21">
        <v>8285522</v>
      </c>
      <c r="D11" s="21">
        <v>9236690</v>
      </c>
      <c r="E11" s="21">
        <v>7561295</v>
      </c>
      <c r="F11" s="21">
        <v>5307864</v>
      </c>
      <c r="G11" s="21">
        <v>4414133</v>
      </c>
    </row>
    <row r="12" spans="1:7" x14ac:dyDescent="0.25">
      <c r="A12" s="13" t="s">
        <v>134</v>
      </c>
      <c r="B12" s="13"/>
      <c r="C12" s="13"/>
      <c r="D12" s="13"/>
      <c r="E12" s="13"/>
      <c r="F12" s="13"/>
      <c r="G12" s="13"/>
    </row>
    <row r="13" spans="1:7" x14ac:dyDescent="0.25">
      <c r="A13" s="14" t="s">
        <v>135</v>
      </c>
      <c r="B13" s="14"/>
      <c r="C13" s="21">
        <v>794827</v>
      </c>
      <c r="D13" s="21">
        <v>739189</v>
      </c>
      <c r="E13" s="21">
        <v>287970</v>
      </c>
      <c r="F13" s="21">
        <v>206239</v>
      </c>
      <c r="G13" s="21">
        <v>211757</v>
      </c>
    </row>
    <row r="14" spans="1:7" x14ac:dyDescent="0.25">
      <c r="A14" s="14" t="s">
        <v>12</v>
      </c>
      <c r="B14" s="14"/>
      <c r="C14" s="21">
        <v>2180809</v>
      </c>
      <c r="D14" s="21">
        <v>2407741</v>
      </c>
      <c r="E14" s="21">
        <v>1400800</v>
      </c>
      <c r="F14" s="21">
        <v>984208</v>
      </c>
      <c r="G14" s="21">
        <v>652878</v>
      </c>
    </row>
    <row r="15" spans="1:7" x14ac:dyDescent="0.25">
      <c r="A15" s="14" t="s">
        <v>136</v>
      </c>
      <c r="B15" s="14"/>
      <c r="C15" s="14"/>
      <c r="D15" s="14"/>
      <c r="E15" s="21">
        <v>4140</v>
      </c>
      <c r="F15" s="21">
        <v>8306</v>
      </c>
      <c r="G15" s="21">
        <v>8760</v>
      </c>
    </row>
    <row r="16" spans="1:7" x14ac:dyDescent="0.25">
      <c r="A16" s="14" t="s">
        <v>13</v>
      </c>
      <c r="B16" s="14"/>
      <c r="C16" s="21">
        <v>1421583</v>
      </c>
      <c r="D16" s="21">
        <v>667539</v>
      </c>
      <c r="E16" s="21">
        <v>113229</v>
      </c>
      <c r="F16" s="21">
        <v>61059</v>
      </c>
      <c r="G16" s="21">
        <v>90703</v>
      </c>
    </row>
    <row r="17" spans="1:7" x14ac:dyDescent="0.25">
      <c r="A17" s="14" t="s">
        <v>14</v>
      </c>
      <c r="B17" s="14"/>
      <c r="C17" s="21">
        <v>171452</v>
      </c>
      <c r="D17" s="21">
        <v>219379</v>
      </c>
      <c r="E17" s="21">
        <v>87244</v>
      </c>
      <c r="F17" s="21">
        <v>70041</v>
      </c>
      <c r="G17" s="21">
        <v>72686</v>
      </c>
    </row>
    <row r="18" spans="1:7" x14ac:dyDescent="0.25">
      <c r="A18" s="14" t="s">
        <v>137</v>
      </c>
      <c r="B18" s="14"/>
      <c r="C18" s="21">
        <v>22155</v>
      </c>
      <c r="D18" s="21">
        <v>50383</v>
      </c>
      <c r="E18" s="21">
        <v>2030</v>
      </c>
      <c r="F18" s="21">
        <v>4381</v>
      </c>
      <c r="G18" s="21">
        <v>6430</v>
      </c>
    </row>
    <row r="19" spans="1:7" x14ac:dyDescent="0.25">
      <c r="A19" s="14" t="s">
        <v>138</v>
      </c>
      <c r="B19" s="14"/>
      <c r="C19" s="21">
        <v>223532</v>
      </c>
      <c r="D19" s="21">
        <v>282317</v>
      </c>
      <c r="E19" s="21">
        <v>268335</v>
      </c>
      <c r="F19" s="21">
        <v>420650</v>
      </c>
      <c r="G19" s="21">
        <v>341814</v>
      </c>
    </row>
    <row r="20" spans="1:7" x14ac:dyDescent="0.25">
      <c r="A20" s="14" t="s">
        <v>139</v>
      </c>
      <c r="B20" s="14"/>
      <c r="C20" s="21">
        <v>468152</v>
      </c>
      <c r="D20" s="21">
        <v>31254</v>
      </c>
      <c r="E20" s="21">
        <v>1578</v>
      </c>
      <c r="F20" s="21">
        <v>159103</v>
      </c>
      <c r="G20" s="21">
        <v>421952</v>
      </c>
    </row>
    <row r="21" spans="1:7" x14ac:dyDescent="0.25">
      <c r="A21" s="14" t="s">
        <v>140</v>
      </c>
      <c r="B21" s="14"/>
      <c r="C21" s="21">
        <v>159795</v>
      </c>
      <c r="D21" s="21">
        <v>154574</v>
      </c>
      <c r="E21" s="21">
        <v>176742</v>
      </c>
      <c r="F21" s="21">
        <v>185336</v>
      </c>
      <c r="G21" s="21">
        <v>122901</v>
      </c>
    </row>
    <row r="22" spans="1:7" x14ac:dyDescent="0.25">
      <c r="A22" s="14" t="s">
        <v>141</v>
      </c>
      <c r="B22" s="14"/>
      <c r="C22" s="21">
        <v>55069</v>
      </c>
      <c r="D22" s="21">
        <v>34879</v>
      </c>
      <c r="E22" s="21">
        <v>19570</v>
      </c>
      <c r="F22" s="21">
        <v>35344</v>
      </c>
      <c r="G22" s="21">
        <v>35168</v>
      </c>
    </row>
    <row r="23" spans="1:7" x14ac:dyDescent="0.25">
      <c r="A23" s="14" t="s">
        <v>142</v>
      </c>
      <c r="B23" s="14"/>
      <c r="C23" s="21">
        <v>5497374</v>
      </c>
      <c r="D23" s="21">
        <v>4587255</v>
      </c>
      <c r="E23" s="21">
        <v>2361638</v>
      </c>
      <c r="F23" s="21">
        <v>2134667</v>
      </c>
      <c r="G23" s="21">
        <v>1965049</v>
      </c>
    </row>
    <row r="24" spans="1:7" x14ac:dyDescent="0.25">
      <c r="A24" s="14" t="s">
        <v>143</v>
      </c>
      <c r="B24" s="14"/>
      <c r="C24" s="14">
        <v>0</v>
      </c>
      <c r="D24" s="14">
        <v>0</v>
      </c>
      <c r="E24" s="21">
        <v>301264</v>
      </c>
      <c r="F24" s="21">
        <v>301264</v>
      </c>
      <c r="G24" s="14">
        <v>0</v>
      </c>
    </row>
    <row r="25" spans="1:7" x14ac:dyDescent="0.25">
      <c r="A25" s="15" t="s">
        <v>144</v>
      </c>
      <c r="B25" s="16"/>
      <c r="C25" s="17">
        <v>13782896</v>
      </c>
      <c r="D25" s="17">
        <v>13823945</v>
      </c>
      <c r="E25" s="17">
        <v>10224197</v>
      </c>
      <c r="F25" s="17">
        <v>7743795</v>
      </c>
      <c r="G25" s="17">
        <v>6379182</v>
      </c>
    </row>
    <row r="26" spans="1:7" x14ac:dyDescent="0.25">
      <c r="A26" s="14"/>
      <c r="B26" s="14"/>
      <c r="C26" s="21"/>
      <c r="D26" s="21"/>
      <c r="E26" s="21"/>
      <c r="F26" s="21"/>
      <c r="G26" s="21"/>
    </row>
    <row r="27" spans="1:7" x14ac:dyDescent="0.25">
      <c r="A27" s="15" t="s">
        <v>23</v>
      </c>
      <c r="B27" s="16"/>
      <c r="C27" s="16"/>
      <c r="D27" s="16"/>
      <c r="E27" s="16"/>
      <c r="F27" s="16"/>
      <c r="G27" s="16"/>
    </row>
    <row r="28" spans="1:7" x14ac:dyDescent="0.25">
      <c r="A28" s="13" t="s">
        <v>145</v>
      </c>
      <c r="B28" s="13"/>
      <c r="C28" s="13"/>
      <c r="D28" s="13"/>
      <c r="E28" s="13"/>
      <c r="F28" s="13"/>
      <c r="G28" s="13"/>
    </row>
    <row r="29" spans="1:7" x14ac:dyDescent="0.25">
      <c r="A29" s="14" t="s">
        <v>146</v>
      </c>
      <c r="B29" s="14"/>
      <c r="C29" s="21">
        <v>665579</v>
      </c>
      <c r="D29" s="21">
        <v>465579</v>
      </c>
      <c r="E29" s="21">
        <v>134950</v>
      </c>
      <c r="F29" s="21">
        <v>134950</v>
      </c>
      <c r="G29" s="21">
        <v>134950</v>
      </c>
    </row>
    <row r="30" spans="1:7" x14ac:dyDescent="0.25">
      <c r="A30" s="14" t="s">
        <v>26</v>
      </c>
      <c r="B30" s="14"/>
      <c r="C30" s="21">
        <v>1170158</v>
      </c>
      <c r="D30" s="21">
        <v>2964938</v>
      </c>
      <c r="E30" s="21">
        <v>2131991</v>
      </c>
      <c r="F30" s="21">
        <v>2246775</v>
      </c>
      <c r="G30" s="21">
        <v>1866661</v>
      </c>
    </row>
    <row r="31" spans="1:7" x14ac:dyDescent="0.25">
      <c r="A31" s="14" t="s">
        <v>147</v>
      </c>
      <c r="B31" s="14"/>
      <c r="C31" s="21">
        <v>661496</v>
      </c>
      <c r="D31" s="21">
        <v>661496</v>
      </c>
      <c r="E31" s="21">
        <v>844259</v>
      </c>
      <c r="F31" s="21">
        <v>844259</v>
      </c>
      <c r="G31" s="21">
        <v>844259</v>
      </c>
    </row>
    <row r="32" spans="1:7" x14ac:dyDescent="0.25">
      <c r="A32" s="14"/>
      <c r="B32" s="14"/>
      <c r="C32" s="21">
        <v>2497233</v>
      </c>
      <c r="D32" s="21">
        <v>4092013</v>
      </c>
      <c r="E32" s="21">
        <v>3111200</v>
      </c>
      <c r="F32" s="21">
        <v>3225984</v>
      </c>
      <c r="G32" s="21">
        <v>2845870</v>
      </c>
    </row>
    <row r="33" spans="1:7" x14ac:dyDescent="0.25">
      <c r="A33" s="13" t="s">
        <v>148</v>
      </c>
      <c r="B33" s="13"/>
      <c r="C33" s="13"/>
      <c r="D33" s="13"/>
      <c r="E33" s="13"/>
      <c r="F33" s="13"/>
      <c r="G33" s="13"/>
    </row>
    <row r="34" spans="1:7" x14ac:dyDescent="0.25">
      <c r="A34" s="14" t="s">
        <v>93</v>
      </c>
      <c r="B34" s="14"/>
      <c r="C34" s="21">
        <v>2458619</v>
      </c>
      <c r="D34" s="21">
        <v>2183659</v>
      </c>
      <c r="E34" s="21">
        <v>2198425</v>
      </c>
      <c r="F34" s="21">
        <v>1137734</v>
      </c>
      <c r="G34" s="21">
        <v>1028809</v>
      </c>
    </row>
    <row r="35" spans="1:7" x14ac:dyDescent="0.25">
      <c r="A35" s="14" t="s">
        <v>149</v>
      </c>
      <c r="B35" s="14"/>
      <c r="C35" s="21">
        <v>11111</v>
      </c>
      <c r="D35" s="21">
        <v>11845</v>
      </c>
      <c r="E35" s="21">
        <v>19530</v>
      </c>
      <c r="F35" s="21">
        <v>9060</v>
      </c>
      <c r="G35" s="21">
        <v>12168</v>
      </c>
    </row>
    <row r="36" spans="1:7" x14ac:dyDescent="0.25">
      <c r="A36" s="14" t="s">
        <v>95</v>
      </c>
      <c r="B36" s="14"/>
      <c r="C36" s="21">
        <v>646878</v>
      </c>
      <c r="D36" s="21">
        <v>618976</v>
      </c>
      <c r="E36" s="21">
        <v>475106</v>
      </c>
      <c r="F36" s="21">
        <v>468610</v>
      </c>
      <c r="G36" s="21">
        <v>616114</v>
      </c>
    </row>
    <row r="37" spans="1:7" x14ac:dyDescent="0.25">
      <c r="A37" s="14" t="s">
        <v>150</v>
      </c>
      <c r="B37" s="14"/>
      <c r="C37" s="14"/>
      <c r="D37" s="14"/>
      <c r="E37" s="14" t="s">
        <v>105</v>
      </c>
      <c r="F37" s="21">
        <v>11441</v>
      </c>
      <c r="G37" s="21">
        <v>24939</v>
      </c>
    </row>
    <row r="38" spans="1:7" x14ac:dyDescent="0.25">
      <c r="A38" s="14" t="s">
        <v>151</v>
      </c>
      <c r="B38" s="14"/>
      <c r="C38" s="21">
        <v>184823</v>
      </c>
      <c r="D38" s="21">
        <v>246622</v>
      </c>
      <c r="E38" s="21">
        <v>288325</v>
      </c>
      <c r="F38" s="21">
        <v>111180</v>
      </c>
      <c r="G38" s="21">
        <v>2629</v>
      </c>
    </row>
    <row r="39" spans="1:7" x14ac:dyDescent="0.25">
      <c r="A39" s="14"/>
      <c r="B39" s="14"/>
      <c r="C39" s="21">
        <v>3301431</v>
      </c>
      <c r="D39" s="21">
        <v>3061102</v>
      </c>
      <c r="E39" s="21">
        <v>2981386</v>
      </c>
      <c r="F39" s="21">
        <v>1738025</v>
      </c>
      <c r="G39" s="21">
        <v>1684659</v>
      </c>
    </row>
    <row r="40" spans="1:7" x14ac:dyDescent="0.25">
      <c r="A40" s="13" t="s">
        <v>152</v>
      </c>
      <c r="B40" s="13"/>
      <c r="C40" s="13"/>
      <c r="D40" s="13"/>
      <c r="E40" s="13"/>
      <c r="F40" s="13"/>
      <c r="G40" s="13"/>
    </row>
    <row r="41" spans="1:7" x14ac:dyDescent="0.25">
      <c r="A41" s="14" t="s">
        <v>34</v>
      </c>
      <c r="B41" s="14"/>
      <c r="C41" s="21">
        <v>1373974</v>
      </c>
      <c r="D41" s="21">
        <v>969935</v>
      </c>
      <c r="E41" s="21">
        <v>553432</v>
      </c>
      <c r="F41" s="21">
        <v>423672</v>
      </c>
      <c r="G41" s="21">
        <v>563154</v>
      </c>
    </row>
    <row r="42" spans="1:7" x14ac:dyDescent="0.25">
      <c r="A42" s="14" t="s">
        <v>153</v>
      </c>
      <c r="B42" s="14"/>
      <c r="C42" s="21">
        <v>334316</v>
      </c>
      <c r="D42" s="21">
        <v>381562</v>
      </c>
      <c r="E42" s="21">
        <v>166095</v>
      </c>
      <c r="F42" s="21">
        <v>31797</v>
      </c>
      <c r="G42" s="21">
        <v>36545</v>
      </c>
    </row>
    <row r="43" spans="1:7" x14ac:dyDescent="0.25">
      <c r="A43" s="14" t="s">
        <v>154</v>
      </c>
      <c r="B43" s="14"/>
      <c r="C43" s="21">
        <v>5777970</v>
      </c>
      <c r="D43" s="21">
        <v>4772246</v>
      </c>
      <c r="E43" s="21">
        <v>2202141</v>
      </c>
      <c r="F43" s="21">
        <v>1797631</v>
      </c>
      <c r="G43" s="21">
        <v>1099279</v>
      </c>
    </row>
    <row r="44" spans="1:7" x14ac:dyDescent="0.25">
      <c r="A44" s="14" t="s">
        <v>98</v>
      </c>
      <c r="B44" s="14"/>
      <c r="C44" s="21">
        <v>424446</v>
      </c>
      <c r="D44" s="21">
        <v>458964</v>
      </c>
      <c r="E44" s="21">
        <v>380404</v>
      </c>
      <c r="F44" s="21">
        <v>347593</v>
      </c>
      <c r="G44" s="21">
        <v>4906</v>
      </c>
    </row>
    <row r="45" spans="1:7" x14ac:dyDescent="0.25">
      <c r="A45" s="14" t="s">
        <v>155</v>
      </c>
      <c r="B45" s="14"/>
      <c r="C45" s="21">
        <v>4014</v>
      </c>
      <c r="D45" s="21">
        <v>11941</v>
      </c>
      <c r="E45" s="21">
        <v>11000</v>
      </c>
      <c r="F45" s="21">
        <v>5340</v>
      </c>
      <c r="G45" s="21">
        <v>129721</v>
      </c>
    </row>
    <row r="46" spans="1:7" x14ac:dyDescent="0.25">
      <c r="A46" s="14" t="s">
        <v>156</v>
      </c>
      <c r="B46" s="14"/>
      <c r="C46" s="21">
        <v>61799</v>
      </c>
      <c r="D46" s="21">
        <v>68429</v>
      </c>
      <c r="E46" s="21">
        <v>60563</v>
      </c>
      <c r="F46" s="21">
        <v>35772</v>
      </c>
      <c r="G46" s="21">
        <v>6588</v>
      </c>
    </row>
    <row r="47" spans="1:7" x14ac:dyDescent="0.25">
      <c r="A47" s="14" t="s">
        <v>157</v>
      </c>
      <c r="B47" s="14"/>
      <c r="C47" s="21">
        <v>7713</v>
      </c>
      <c r="D47" s="21">
        <v>7753</v>
      </c>
      <c r="E47" s="21">
        <v>7976</v>
      </c>
      <c r="F47" s="21">
        <v>7981</v>
      </c>
      <c r="G47" s="21">
        <v>8460</v>
      </c>
    </row>
    <row r="48" spans="1:7" x14ac:dyDescent="0.25">
      <c r="A48" s="14" t="s">
        <v>158</v>
      </c>
      <c r="B48" s="14"/>
      <c r="C48" s="21">
        <v>7984232</v>
      </c>
      <c r="D48" s="21">
        <v>6670830</v>
      </c>
      <c r="E48" s="21">
        <v>3381611</v>
      </c>
      <c r="F48" s="21">
        <v>2649786</v>
      </c>
      <c r="G48" s="21">
        <v>1848653</v>
      </c>
    </row>
    <row r="49" spans="1:7" x14ac:dyDescent="0.25">
      <c r="A49" s="536" t="s">
        <v>159</v>
      </c>
      <c r="B49" s="537"/>
      <c r="C49" s="14"/>
      <c r="D49" s="14"/>
      <c r="E49" s="21">
        <v>750000</v>
      </c>
      <c r="F49" s="21">
        <v>130000</v>
      </c>
      <c r="G49" s="14"/>
    </row>
    <row r="50" spans="1:7" x14ac:dyDescent="0.25">
      <c r="A50" s="14" t="s">
        <v>160</v>
      </c>
      <c r="B50" s="14"/>
      <c r="C50" s="14"/>
      <c r="D50" s="14"/>
      <c r="E50" s="14"/>
      <c r="F50" s="14"/>
      <c r="G50" s="14"/>
    </row>
    <row r="51" spans="1:7" x14ac:dyDescent="0.25">
      <c r="A51" s="22" t="s">
        <v>161</v>
      </c>
      <c r="B51" s="23"/>
      <c r="C51" s="24">
        <v>13782896</v>
      </c>
      <c r="D51" s="24">
        <v>13823945</v>
      </c>
      <c r="E51" s="24">
        <v>10224197</v>
      </c>
      <c r="F51" s="24">
        <v>7743795</v>
      </c>
      <c r="G51" s="24">
        <v>6379182</v>
      </c>
    </row>
    <row r="52" spans="1:7" x14ac:dyDescent="0.25">
      <c r="A52" s="25"/>
      <c r="B52" s="26"/>
      <c r="C52" s="27"/>
      <c r="D52" s="27"/>
      <c r="E52" s="27"/>
      <c r="F52" s="27"/>
      <c r="G52" s="27"/>
    </row>
    <row r="53" spans="1:7" x14ac:dyDescent="0.25">
      <c r="A53" s="26"/>
      <c r="B53" s="26"/>
      <c r="C53" s="26"/>
      <c r="D53" s="26"/>
      <c r="E53" s="26"/>
      <c r="F53" s="26"/>
      <c r="G53" s="26"/>
    </row>
    <row r="54" spans="1:7" x14ac:dyDescent="0.25">
      <c r="A54" s="28" t="s">
        <v>162</v>
      </c>
      <c r="B54" s="29"/>
      <c r="C54" s="30">
        <v>2024</v>
      </c>
      <c r="D54" s="30">
        <v>2023</v>
      </c>
      <c r="E54" s="30">
        <v>2022</v>
      </c>
      <c r="F54" s="30">
        <v>2021</v>
      </c>
      <c r="G54" s="30">
        <v>2020</v>
      </c>
    </row>
    <row r="55" spans="1:7" x14ac:dyDescent="0.25">
      <c r="A55" s="14"/>
      <c r="B55" s="14"/>
      <c r="C55" s="14"/>
      <c r="D55" s="14"/>
      <c r="E55" s="14"/>
      <c r="F55" s="14"/>
      <c r="G55" s="14"/>
    </row>
    <row r="56" spans="1:7" x14ac:dyDescent="0.25">
      <c r="A56" s="14" t="s">
        <v>108</v>
      </c>
      <c r="B56" s="14"/>
      <c r="C56" s="21">
        <v>11969725</v>
      </c>
      <c r="D56" s="21">
        <v>7779469</v>
      </c>
      <c r="E56" s="31">
        <v>4832646</v>
      </c>
      <c r="F56" s="32">
        <v>3861442</v>
      </c>
      <c r="G56" s="32">
        <v>4637141</v>
      </c>
    </row>
    <row r="57" spans="1:7" x14ac:dyDescent="0.25">
      <c r="A57" s="14" t="s">
        <v>45</v>
      </c>
      <c r="B57" s="14"/>
      <c r="C57" s="21">
        <v>11149846</v>
      </c>
      <c r="D57" s="21">
        <v>6416207</v>
      </c>
      <c r="E57" s="32">
        <v>4354653</v>
      </c>
      <c r="F57" s="32">
        <v>3578666</v>
      </c>
      <c r="G57" s="32">
        <v>4332418</v>
      </c>
    </row>
    <row r="58" spans="1:7" x14ac:dyDescent="0.25">
      <c r="A58" s="13" t="s">
        <v>163</v>
      </c>
      <c r="B58" s="13"/>
      <c r="C58" s="33">
        <v>819879</v>
      </c>
      <c r="D58" s="33">
        <v>1363262</v>
      </c>
      <c r="E58" s="34">
        <v>477993</v>
      </c>
      <c r="F58" s="34">
        <v>282776</v>
      </c>
      <c r="G58" s="34">
        <v>304723</v>
      </c>
    </row>
    <row r="59" spans="1:7" x14ac:dyDescent="0.25">
      <c r="A59" s="14" t="s">
        <v>164</v>
      </c>
      <c r="B59" s="14"/>
      <c r="C59" s="21">
        <v>264816</v>
      </c>
      <c r="D59" s="21">
        <v>165756</v>
      </c>
      <c r="E59" s="32">
        <v>36435</v>
      </c>
      <c r="F59" s="32">
        <v>24474</v>
      </c>
      <c r="G59" s="32">
        <v>16934</v>
      </c>
    </row>
    <row r="60" spans="1:7" x14ac:dyDescent="0.25">
      <c r="A60" s="14" t="s">
        <v>165</v>
      </c>
      <c r="B60" s="14"/>
      <c r="C60" s="21">
        <v>319397</v>
      </c>
      <c r="D60" s="21">
        <v>269480</v>
      </c>
      <c r="E60" s="32">
        <v>210166</v>
      </c>
      <c r="F60" s="32">
        <v>152867</v>
      </c>
      <c r="G60" s="32">
        <v>168213</v>
      </c>
    </row>
    <row r="61" spans="1:7" x14ac:dyDescent="0.25">
      <c r="A61" s="14" t="s">
        <v>49</v>
      </c>
      <c r="B61" s="14"/>
      <c r="C61" s="21">
        <v>33241</v>
      </c>
      <c r="D61" s="21">
        <v>177138</v>
      </c>
      <c r="E61" s="31">
        <v>10151</v>
      </c>
      <c r="F61" s="31">
        <v>25084</v>
      </c>
      <c r="G61" s="32">
        <v>2118</v>
      </c>
    </row>
    <row r="62" spans="1:7" x14ac:dyDescent="0.25">
      <c r="A62" s="14"/>
      <c r="B62" s="14"/>
      <c r="C62" s="21">
        <v>617454</v>
      </c>
      <c r="D62" s="21">
        <v>612374</v>
      </c>
      <c r="E62" s="31">
        <v>256752</v>
      </c>
      <c r="F62" s="31">
        <v>202425</v>
      </c>
      <c r="G62" s="32">
        <v>187265</v>
      </c>
    </row>
    <row r="63" spans="1:7" x14ac:dyDescent="0.25">
      <c r="A63" s="14" t="s">
        <v>50</v>
      </c>
      <c r="B63" s="14"/>
      <c r="C63" s="21">
        <v>47140</v>
      </c>
      <c r="D63" s="21">
        <v>515883</v>
      </c>
      <c r="E63" s="32">
        <v>68145</v>
      </c>
      <c r="F63" s="32">
        <v>195950</v>
      </c>
      <c r="G63" s="32">
        <v>26017</v>
      </c>
    </row>
    <row r="64" spans="1:7" x14ac:dyDescent="0.25">
      <c r="A64" s="13" t="s">
        <v>166</v>
      </c>
      <c r="B64" s="13"/>
      <c r="C64" s="33">
        <v>249565</v>
      </c>
      <c r="D64" s="33">
        <v>1266771</v>
      </c>
      <c r="E64" s="34">
        <v>289386</v>
      </c>
      <c r="F64" s="34">
        <v>276301</v>
      </c>
      <c r="G64" s="34">
        <v>143475</v>
      </c>
    </row>
    <row r="65" spans="1:10" x14ac:dyDescent="0.25">
      <c r="A65" s="14" t="s">
        <v>167</v>
      </c>
      <c r="B65" s="14"/>
      <c r="C65" s="21">
        <v>1858395</v>
      </c>
      <c r="D65" s="21">
        <v>1124065</v>
      </c>
      <c r="E65" s="31">
        <v>429423</v>
      </c>
      <c r="F65" s="31">
        <v>228073</v>
      </c>
      <c r="G65" s="32">
        <v>366148</v>
      </c>
    </row>
    <row r="66" spans="1:10" x14ac:dyDescent="0.25">
      <c r="A66" s="14"/>
      <c r="B66" s="14"/>
      <c r="C66" s="21">
        <v>1608830</v>
      </c>
      <c r="D66" s="21">
        <v>142706</v>
      </c>
      <c r="E66" s="31">
        <v>140037</v>
      </c>
      <c r="F66" s="31">
        <v>48228</v>
      </c>
      <c r="G66" s="32">
        <v>222673</v>
      </c>
    </row>
    <row r="67" spans="1:10" x14ac:dyDescent="0.25">
      <c r="A67" s="14" t="s">
        <v>168</v>
      </c>
      <c r="B67" s="14"/>
      <c r="C67" s="21">
        <v>652468</v>
      </c>
      <c r="D67" s="21">
        <v>911711</v>
      </c>
      <c r="E67" s="32">
        <v>440059</v>
      </c>
      <c r="F67" s="32">
        <v>167545</v>
      </c>
      <c r="G67" s="32">
        <v>174668</v>
      </c>
    </row>
    <row r="68" spans="1:10" x14ac:dyDescent="0.25">
      <c r="A68" s="13" t="s">
        <v>169</v>
      </c>
      <c r="B68" s="13"/>
      <c r="C68" s="33">
        <v>2261298</v>
      </c>
      <c r="D68" s="33">
        <v>1054417</v>
      </c>
      <c r="E68" s="13"/>
      <c r="F68" s="13"/>
      <c r="G68" s="13"/>
    </row>
    <row r="69" spans="1:10" x14ac:dyDescent="0.25">
      <c r="A69" s="14" t="s">
        <v>170</v>
      </c>
      <c r="B69" s="14"/>
      <c r="C69" s="21">
        <v>165915</v>
      </c>
      <c r="D69" s="21">
        <v>111057</v>
      </c>
      <c r="E69" s="14"/>
      <c r="F69" s="14"/>
      <c r="G69" s="14"/>
    </row>
    <row r="70" spans="1:10" x14ac:dyDescent="0.25">
      <c r="A70" s="13" t="s">
        <v>171</v>
      </c>
      <c r="B70" s="13"/>
      <c r="C70" s="33">
        <v>2427213</v>
      </c>
      <c r="D70" s="33">
        <v>943360</v>
      </c>
      <c r="E70" s="34">
        <v>300022</v>
      </c>
      <c r="F70" s="35">
        <v>215773</v>
      </c>
      <c r="G70" s="34">
        <v>48005</v>
      </c>
    </row>
    <row r="71" spans="1:10" x14ac:dyDescent="0.25">
      <c r="A71" s="14" t="s">
        <v>57</v>
      </c>
      <c r="B71" s="14"/>
      <c r="C71" s="21">
        <v>205765</v>
      </c>
      <c r="D71" s="21">
        <v>104044</v>
      </c>
      <c r="E71" s="32">
        <v>96396</v>
      </c>
      <c r="F71" s="32">
        <v>75453</v>
      </c>
      <c r="G71" s="32">
        <v>67728</v>
      </c>
    </row>
    <row r="72" spans="1:10" x14ac:dyDescent="0.25">
      <c r="A72" s="15" t="s">
        <v>172</v>
      </c>
      <c r="B72" s="16"/>
      <c r="C72" s="17">
        <v>2221448</v>
      </c>
      <c r="D72" s="17">
        <v>839316</v>
      </c>
      <c r="E72" s="36">
        <v>203626</v>
      </c>
      <c r="F72" s="36">
        <v>140320</v>
      </c>
      <c r="G72" s="36">
        <v>115733</v>
      </c>
    </row>
    <row r="73" spans="1:10" x14ac:dyDescent="0.25">
      <c r="A73" s="14"/>
      <c r="B73" s="14"/>
      <c r="C73" s="14"/>
      <c r="D73" s="536" t="s">
        <v>173</v>
      </c>
      <c r="E73" s="537"/>
      <c r="F73" s="14"/>
      <c r="G73" s="14"/>
    </row>
    <row r="74" spans="1:10" x14ac:dyDescent="0.25">
      <c r="A74" s="536" t="s">
        <v>174</v>
      </c>
      <c r="B74" s="537"/>
      <c r="C74" s="21">
        <v>-39.17</v>
      </c>
      <c r="D74" s="21">
        <v>16.43</v>
      </c>
      <c r="E74" s="14">
        <v>15.09</v>
      </c>
      <c r="F74" s="14">
        <v>10.4</v>
      </c>
      <c r="G74" s="14">
        <v>-8.58</v>
      </c>
    </row>
    <row r="75" spans="1:10" x14ac:dyDescent="0.25">
      <c r="A75" s="37"/>
      <c r="B75" s="26"/>
      <c r="C75" s="26"/>
      <c r="D75" s="26"/>
      <c r="E75" s="26"/>
      <c r="F75" s="26"/>
      <c r="G75" s="38"/>
    </row>
    <row r="76" spans="1:10" x14ac:dyDescent="0.25">
      <c r="A76" s="37"/>
      <c r="B76" s="26"/>
      <c r="C76" s="26"/>
      <c r="D76" s="26"/>
      <c r="E76" s="26"/>
      <c r="F76" s="26"/>
      <c r="G76" s="38"/>
    </row>
    <row r="77" spans="1:10" x14ac:dyDescent="0.25">
      <c r="A77" s="37"/>
      <c r="B77" s="26"/>
      <c r="C77" s="26"/>
      <c r="D77" s="26"/>
      <c r="E77" s="26"/>
      <c r="F77" s="26"/>
      <c r="G77" s="38"/>
    </row>
    <row r="78" spans="1:10" x14ac:dyDescent="0.25">
      <c r="A78" s="15" t="s">
        <v>175</v>
      </c>
      <c r="B78" s="15"/>
      <c r="C78" s="17">
        <v>2020</v>
      </c>
      <c r="D78" s="17">
        <v>2021</v>
      </c>
      <c r="E78" s="17">
        <v>2022</v>
      </c>
      <c r="F78" s="17">
        <v>2023</v>
      </c>
      <c r="G78" s="17">
        <v>2024</v>
      </c>
      <c r="I78" s="27"/>
      <c r="J78" s="27"/>
    </row>
    <row r="79" spans="1:10" x14ac:dyDescent="0.25">
      <c r="A79" s="39" t="s">
        <v>176</v>
      </c>
      <c r="B79" s="13"/>
      <c r="C79" s="13"/>
      <c r="D79" s="13"/>
      <c r="E79" s="13"/>
      <c r="F79" s="13"/>
      <c r="G79" s="13"/>
      <c r="I79" s="26"/>
      <c r="J79" s="26"/>
    </row>
    <row r="80" spans="1:10" x14ac:dyDescent="0.25">
      <c r="A80" s="14" t="s">
        <v>177</v>
      </c>
      <c r="B80" s="14"/>
      <c r="C80" s="40">
        <v>1.0629626000000001</v>
      </c>
      <c r="D80" s="40">
        <v>0.80559977299999996</v>
      </c>
      <c r="E80" s="40">
        <v>0.69837660219999997</v>
      </c>
      <c r="F80" s="40">
        <v>0.68765880710000005</v>
      </c>
      <c r="G80" s="40">
        <v>0.68852884029999994</v>
      </c>
      <c r="I80" s="364"/>
      <c r="J80" s="364"/>
    </row>
    <row r="81" spans="1:10" x14ac:dyDescent="0.25">
      <c r="A81" s="14" t="s">
        <v>178</v>
      </c>
      <c r="B81" s="14"/>
      <c r="C81" s="40">
        <v>0.59</v>
      </c>
      <c r="D81" s="40">
        <v>0.35</v>
      </c>
      <c r="E81" s="40">
        <v>0.2</v>
      </c>
      <c r="F81" s="40">
        <v>0.22</v>
      </c>
      <c r="G81" s="40">
        <v>0.32</v>
      </c>
      <c r="I81" s="364"/>
      <c r="J81" s="364"/>
    </row>
    <row r="82" spans="1:10" x14ac:dyDescent="0.25">
      <c r="A82" s="39" t="s">
        <v>179</v>
      </c>
      <c r="B82" s="13"/>
      <c r="C82" s="41"/>
      <c r="D82" s="41"/>
      <c r="E82" s="41"/>
      <c r="F82" s="41"/>
      <c r="G82" s="41"/>
      <c r="I82" s="364"/>
      <c r="J82" s="364"/>
    </row>
    <row r="83" spans="1:10" x14ac:dyDescent="0.25">
      <c r="A83" s="14" t="s">
        <v>336</v>
      </c>
      <c r="B83" s="14"/>
      <c r="C83" s="429">
        <v>60</v>
      </c>
      <c r="D83" s="430">
        <v>50.9</v>
      </c>
      <c r="E83" s="430">
        <v>55.5</v>
      </c>
      <c r="F83" s="430">
        <v>19.899999999999999</v>
      </c>
      <c r="G83" s="430">
        <v>11.5</v>
      </c>
      <c r="I83" s="364"/>
      <c r="J83" s="364"/>
    </row>
    <row r="84" spans="1:10" x14ac:dyDescent="0.25">
      <c r="A84" s="14" t="s">
        <v>181</v>
      </c>
      <c r="B84" s="14"/>
      <c r="C84" s="430">
        <v>6.1</v>
      </c>
      <c r="D84" s="430">
        <v>57</v>
      </c>
      <c r="E84" s="430">
        <v>17.399999999999999</v>
      </c>
      <c r="F84" s="430">
        <v>37.1</v>
      </c>
      <c r="G84" s="430">
        <v>31.8</v>
      </c>
      <c r="I84" s="364"/>
      <c r="J84" s="364"/>
    </row>
    <row r="85" spans="1:10" x14ac:dyDescent="0.25">
      <c r="A85" s="14" t="s">
        <v>341</v>
      </c>
      <c r="B85" s="14"/>
      <c r="C85" s="429">
        <v>8.8000000000000007</v>
      </c>
      <c r="D85" s="430">
        <v>5.8</v>
      </c>
      <c r="E85" s="430">
        <v>4.8</v>
      </c>
      <c r="F85" s="430">
        <v>4</v>
      </c>
      <c r="G85" s="430">
        <v>5.0999999999999996</v>
      </c>
      <c r="I85" s="364"/>
      <c r="J85" s="364"/>
    </row>
    <row r="86" spans="1:10" x14ac:dyDescent="0.25">
      <c r="A86" s="14" t="s">
        <v>337</v>
      </c>
      <c r="B86" s="14"/>
      <c r="C86" s="429">
        <v>79.3</v>
      </c>
      <c r="D86" s="430">
        <v>83.5</v>
      </c>
      <c r="E86" s="430">
        <v>100</v>
      </c>
      <c r="F86" s="430">
        <v>108.3</v>
      </c>
      <c r="G86" s="430">
        <v>75.099999999999994</v>
      </c>
      <c r="I86" s="364"/>
      <c r="J86" s="364"/>
    </row>
    <row r="87" spans="1:10" x14ac:dyDescent="0.25">
      <c r="A87" s="14" t="s">
        <v>338</v>
      </c>
      <c r="B87" s="14"/>
      <c r="C87" s="429">
        <v>9.8000000000000007</v>
      </c>
      <c r="D87" s="430">
        <v>7.2</v>
      </c>
      <c r="E87" s="430">
        <v>8.9</v>
      </c>
      <c r="F87" s="430">
        <v>8.4</v>
      </c>
      <c r="G87" s="430">
        <v>9.5</v>
      </c>
      <c r="I87" s="364"/>
      <c r="J87" s="364"/>
    </row>
    <row r="88" spans="1:10" x14ac:dyDescent="0.25">
      <c r="A88" s="14" t="s">
        <v>339</v>
      </c>
      <c r="B88" s="14"/>
      <c r="C88" s="429">
        <v>37.299999999999997</v>
      </c>
      <c r="D88" s="430">
        <v>50.4</v>
      </c>
      <c r="E88" s="430">
        <v>34.200000000000003</v>
      </c>
      <c r="F88" s="430">
        <v>34.299999999999997</v>
      </c>
      <c r="G88" s="430">
        <v>38.4</v>
      </c>
      <c r="I88" s="364"/>
      <c r="J88" s="364"/>
    </row>
    <row r="89" spans="1:10" x14ac:dyDescent="0.25">
      <c r="A89" s="14" t="s">
        <v>340</v>
      </c>
      <c r="B89" s="14"/>
      <c r="C89" s="429">
        <v>10.4</v>
      </c>
      <c r="D89" s="430">
        <v>69.8</v>
      </c>
      <c r="E89" s="430">
        <v>59</v>
      </c>
      <c r="F89" s="430">
        <v>94.6</v>
      </c>
      <c r="G89" s="430">
        <v>65.2</v>
      </c>
      <c r="I89" s="364"/>
      <c r="J89" s="364"/>
    </row>
    <row r="90" spans="1:10" x14ac:dyDescent="0.25">
      <c r="A90" s="14" t="s">
        <v>182</v>
      </c>
      <c r="B90" s="14"/>
      <c r="C90" s="430">
        <v>1.77</v>
      </c>
      <c r="D90" s="430">
        <v>1.1100000000000001</v>
      </c>
      <c r="E90" s="430">
        <v>0.84</v>
      </c>
      <c r="F90" s="430">
        <v>1.1399999999999999</v>
      </c>
      <c r="G90" s="430">
        <v>1.8</v>
      </c>
      <c r="I90" s="364"/>
      <c r="J90" s="364"/>
    </row>
    <row r="91" spans="1:10" x14ac:dyDescent="0.25">
      <c r="A91" s="14" t="s">
        <v>183</v>
      </c>
      <c r="B91" s="14"/>
      <c r="C91" s="430">
        <v>0.72691780859999999</v>
      </c>
      <c r="D91" s="430">
        <v>0.49864982219999998</v>
      </c>
      <c r="E91" s="430">
        <v>0.47266753569999997</v>
      </c>
      <c r="F91" s="430">
        <v>0.56275317940000003</v>
      </c>
      <c r="G91" s="430">
        <v>0.87</v>
      </c>
      <c r="I91" s="364"/>
      <c r="J91" s="364"/>
    </row>
    <row r="92" spans="1:10" x14ac:dyDescent="0.25">
      <c r="A92" s="39" t="s">
        <v>184</v>
      </c>
      <c r="B92" s="13"/>
      <c r="C92" s="41"/>
      <c r="D92" s="41"/>
      <c r="E92" s="41"/>
      <c r="F92" s="41"/>
      <c r="G92" s="41"/>
      <c r="I92" s="364"/>
      <c r="J92" s="364"/>
    </row>
    <row r="93" spans="1:10" x14ac:dyDescent="0.25">
      <c r="A93" s="14" t="s">
        <v>342</v>
      </c>
      <c r="B93" s="427"/>
      <c r="C93" s="431">
        <v>0.45300000000000001</v>
      </c>
      <c r="D93" s="428">
        <v>0.504</v>
      </c>
      <c r="E93" s="428">
        <v>0.60799999999999998</v>
      </c>
      <c r="F93" s="428">
        <v>0.65100000000000002</v>
      </c>
      <c r="G93" s="428">
        <v>0.77800000000000002</v>
      </c>
      <c r="I93" s="364"/>
      <c r="J93" s="364"/>
    </row>
    <row r="94" spans="1:10" x14ac:dyDescent="0.25">
      <c r="A94" s="14" t="s">
        <v>343</v>
      </c>
      <c r="B94" s="14"/>
      <c r="C94" s="432">
        <v>0.83</v>
      </c>
      <c r="D94" s="43">
        <v>1.02</v>
      </c>
      <c r="E94" s="43">
        <v>1.55</v>
      </c>
      <c r="F94" s="43">
        <v>1.86</v>
      </c>
      <c r="G94" s="43">
        <v>3.52</v>
      </c>
      <c r="I94" s="364"/>
      <c r="J94" s="364"/>
    </row>
    <row r="95" spans="1:10" x14ac:dyDescent="0.25">
      <c r="A95" s="14" t="s">
        <v>344</v>
      </c>
      <c r="B95" s="14"/>
      <c r="C95" s="428">
        <v>0.26800000000000002</v>
      </c>
      <c r="D95" s="428">
        <v>0.25900000000000001</v>
      </c>
      <c r="E95" s="428">
        <v>0.41399999999999998</v>
      </c>
      <c r="F95" s="428">
        <v>0.28699999999999998</v>
      </c>
      <c r="G95" s="428">
        <v>0.28100000000000003</v>
      </c>
      <c r="I95" s="364"/>
      <c r="J95" s="364"/>
    </row>
    <row r="96" spans="1:10" x14ac:dyDescent="0.25">
      <c r="A96" s="14" t="s">
        <v>334</v>
      </c>
      <c r="B96" s="14"/>
      <c r="C96" s="428">
        <v>0.37</v>
      </c>
      <c r="D96" s="428">
        <v>0.42299999999999999</v>
      </c>
      <c r="E96" s="428">
        <v>0.47099999999999997</v>
      </c>
      <c r="F96" s="428">
        <v>0.55200000000000005</v>
      </c>
      <c r="G96" s="428">
        <v>0.63800000000000001</v>
      </c>
      <c r="I96" s="364"/>
      <c r="J96" s="364"/>
    </row>
    <row r="97" spans="1:10" x14ac:dyDescent="0.25">
      <c r="A97" s="14" t="s">
        <v>186</v>
      </c>
      <c r="B97" s="14"/>
      <c r="C97" s="43">
        <v>1.3436861600000001</v>
      </c>
      <c r="D97" s="43">
        <v>2.1273934219999999</v>
      </c>
      <c r="E97" s="43">
        <v>1.7110052330000001</v>
      </c>
      <c r="F97" s="43">
        <v>1.757581635</v>
      </c>
      <c r="G97" s="43">
        <v>0.7734270701</v>
      </c>
      <c r="I97" s="364"/>
      <c r="J97" s="364"/>
    </row>
    <row r="98" spans="1:10" x14ac:dyDescent="0.25">
      <c r="A98" s="39" t="s">
        <v>208</v>
      </c>
      <c r="B98" s="13"/>
      <c r="C98" s="41"/>
      <c r="D98" s="41"/>
      <c r="E98" s="41"/>
      <c r="F98" s="41"/>
      <c r="G98" s="41"/>
      <c r="I98" s="364"/>
      <c r="J98" s="364"/>
    </row>
    <row r="99" spans="1:10" x14ac:dyDescent="0.25">
      <c r="A99" s="14" t="s">
        <v>187</v>
      </c>
      <c r="B99" s="14"/>
      <c r="C99" s="340">
        <v>3.09E-2</v>
      </c>
      <c r="D99" s="340">
        <v>7.1599999999999997E-2</v>
      </c>
      <c r="E99" s="340">
        <v>5.9900000000000002E-2</v>
      </c>
      <c r="F99" s="340">
        <v>0.1628</v>
      </c>
      <c r="G99" s="340">
        <v>2.0799999999999999E-2</v>
      </c>
      <c r="I99" s="364"/>
      <c r="J99" s="364"/>
    </row>
    <row r="100" spans="1:10" x14ac:dyDescent="0.25">
      <c r="A100" s="14" t="s">
        <v>188</v>
      </c>
      <c r="B100" s="14"/>
      <c r="C100" s="44">
        <v>2.495783501</v>
      </c>
      <c r="D100" s="44">
        <v>3.6338756349999999</v>
      </c>
      <c r="E100" s="44">
        <v>4.2135509200000003</v>
      </c>
      <c r="F100" s="44">
        <v>10.78885975</v>
      </c>
      <c r="G100" s="44">
        <v>18.558889199999999</v>
      </c>
      <c r="I100" s="364"/>
      <c r="J100" s="364"/>
    </row>
    <row r="101" spans="1:10" x14ac:dyDescent="0.25">
      <c r="A101" s="14" t="s">
        <v>189</v>
      </c>
      <c r="B101" s="14"/>
      <c r="C101" s="44">
        <v>3.6284589469999999</v>
      </c>
      <c r="D101" s="44">
        <v>1.9871164560000001</v>
      </c>
      <c r="E101" s="44">
        <v>2.2665415260000001</v>
      </c>
      <c r="F101" s="44">
        <v>6.9802981040000001</v>
      </c>
      <c r="G101" s="44">
        <v>16.093460310000001</v>
      </c>
      <c r="I101" s="364"/>
      <c r="J101" s="364"/>
    </row>
    <row r="102" spans="1:10" x14ac:dyDescent="0.25">
      <c r="A102" s="14" t="s">
        <v>197</v>
      </c>
      <c r="B102" s="14"/>
      <c r="C102" s="340">
        <v>4.066700166E-2</v>
      </c>
      <c r="D102" s="340">
        <v>4.3496805940000001E-2</v>
      </c>
      <c r="E102" s="340">
        <v>6.5449344300000004E-2</v>
      </c>
      <c r="F102" s="340">
        <v>0.20511078529999999</v>
      </c>
      <c r="G102" s="340">
        <v>-0.88956376920000002</v>
      </c>
      <c r="I102" s="365"/>
      <c r="J102" s="365"/>
    </row>
    <row r="103" spans="1:10" x14ac:dyDescent="0.25">
      <c r="A103" s="14" t="s">
        <v>190</v>
      </c>
      <c r="B103" s="14"/>
      <c r="C103" s="340">
        <v>2.2499999999999999E-2</v>
      </c>
      <c r="D103" s="340">
        <v>3.6200000000000003E-2</v>
      </c>
      <c r="E103" s="340">
        <v>3.2199999999999999E-2</v>
      </c>
      <c r="F103" s="340">
        <v>0.15759999999999999</v>
      </c>
      <c r="G103" s="340">
        <v>3.0599999999999999E-2</v>
      </c>
      <c r="I103" s="365"/>
      <c r="J103" s="365"/>
    </row>
    <row r="104" spans="1:10" x14ac:dyDescent="0.25">
      <c r="A104" s="14" t="s">
        <v>191</v>
      </c>
      <c r="B104" s="14"/>
      <c r="C104" s="340">
        <v>2.2491128169999999E-2</v>
      </c>
      <c r="D104" s="340">
        <v>3.5680309200000003E-2</v>
      </c>
      <c r="E104" s="340">
        <v>2.830403209E-2</v>
      </c>
      <c r="F104" s="340">
        <v>9.1635998260000004E-2</v>
      </c>
      <c r="G104" s="340">
        <v>1.8106862299999998E-2</v>
      </c>
      <c r="I104" s="365"/>
      <c r="J104" s="365"/>
    </row>
    <row r="105" spans="1:10" x14ac:dyDescent="0.25">
      <c r="A105" s="39" t="s">
        <v>192</v>
      </c>
      <c r="B105" s="13"/>
      <c r="C105" s="41"/>
      <c r="D105" s="41"/>
      <c r="E105" s="41"/>
      <c r="F105" s="41"/>
      <c r="G105" s="41"/>
      <c r="I105" s="364"/>
      <c r="J105" s="364"/>
    </row>
    <row r="106" spans="1:10" x14ac:dyDescent="0.25">
      <c r="A106" s="14" t="s">
        <v>193</v>
      </c>
      <c r="B106" s="14"/>
      <c r="C106" s="45">
        <v>36.283185840000002</v>
      </c>
      <c r="D106" s="45">
        <v>35.636363639999999</v>
      </c>
      <c r="E106" s="45">
        <v>32.537688439999997</v>
      </c>
      <c r="F106" s="45">
        <v>2.312842362</v>
      </c>
      <c r="G106" s="45">
        <v>-0.715343375</v>
      </c>
      <c r="I106" s="364"/>
      <c r="J106" s="364"/>
    </row>
    <row r="107" spans="1:10" x14ac:dyDescent="0.25">
      <c r="A107" s="14" t="s">
        <v>194</v>
      </c>
      <c r="B107" s="14"/>
      <c r="C107" s="45">
        <v>1.917680075</v>
      </c>
      <c r="D107" s="45">
        <v>2.021869197</v>
      </c>
      <c r="E107" s="45">
        <v>2.7706461280000001</v>
      </c>
      <c r="F107" s="45">
        <v>0.61808718279999997</v>
      </c>
      <c r="G107" s="45">
        <v>0.74680170580000005</v>
      </c>
      <c r="I107" s="364"/>
      <c r="J107" s="364"/>
    </row>
    <row r="108" spans="1:10" x14ac:dyDescent="0.25">
      <c r="A108" s="14" t="s">
        <v>331</v>
      </c>
      <c r="B108" s="14"/>
      <c r="C108" s="55" t="s">
        <v>206</v>
      </c>
      <c r="D108" s="55" t="s">
        <v>206</v>
      </c>
      <c r="E108" s="55" t="s">
        <v>206</v>
      </c>
      <c r="F108" s="55" t="s">
        <v>206</v>
      </c>
      <c r="G108" s="55" t="s">
        <v>206</v>
      </c>
      <c r="I108" s="364"/>
      <c r="J108" s="364"/>
    </row>
    <row r="109" spans="1:10" x14ac:dyDescent="0.25">
      <c r="A109" s="14" t="s">
        <v>332</v>
      </c>
      <c r="B109" s="14"/>
      <c r="C109" s="55" t="s">
        <v>206</v>
      </c>
      <c r="D109" s="471">
        <v>36.979999999999997</v>
      </c>
      <c r="E109" s="471">
        <v>9.94</v>
      </c>
      <c r="F109" s="55" t="s">
        <v>206</v>
      </c>
      <c r="G109" s="55" t="s">
        <v>206</v>
      </c>
      <c r="I109" s="364"/>
      <c r="J109" s="364"/>
    </row>
    <row r="110" spans="1:10" x14ac:dyDescent="0.25">
      <c r="A110" s="14" t="s">
        <v>333</v>
      </c>
      <c r="B110" s="14"/>
      <c r="C110" s="55" t="s">
        <v>206</v>
      </c>
      <c r="D110" s="55" t="s">
        <v>206</v>
      </c>
      <c r="E110" s="55" t="s">
        <v>206</v>
      </c>
      <c r="F110" s="55" t="s">
        <v>206</v>
      </c>
      <c r="G110" s="55" t="s">
        <v>206</v>
      </c>
      <c r="I110" s="364"/>
      <c r="J110" s="364"/>
    </row>
    <row r="111" spans="1:10" x14ac:dyDescent="0.25">
      <c r="A111" s="14" t="s">
        <v>195</v>
      </c>
      <c r="B111" s="14"/>
      <c r="C111" s="45">
        <v>31.75</v>
      </c>
      <c r="D111" s="45">
        <v>32.450000000000003</v>
      </c>
      <c r="E111" s="45">
        <v>28.61</v>
      </c>
      <c r="F111" s="45">
        <v>5.65</v>
      </c>
      <c r="G111" s="55" t="s">
        <v>206</v>
      </c>
      <c r="I111" s="366"/>
      <c r="J111" s="364"/>
    </row>
    <row r="114" spans="1:7" ht="18.75" x14ac:dyDescent="0.3">
      <c r="A114" s="538" t="s">
        <v>335</v>
      </c>
      <c r="B114" s="539"/>
      <c r="C114" s="539"/>
      <c r="D114" s="539"/>
      <c r="E114" s="539"/>
      <c r="F114" s="539"/>
      <c r="G114" s="539"/>
    </row>
    <row r="115" spans="1:7" x14ac:dyDescent="0.25">
      <c r="A115" s="53"/>
      <c r="B115" s="54" t="s">
        <v>199</v>
      </c>
      <c r="C115" s="54">
        <v>2024</v>
      </c>
      <c r="D115" s="54">
        <v>2023</v>
      </c>
      <c r="E115" s="54">
        <v>2022</v>
      </c>
      <c r="F115" s="54">
        <v>2021</v>
      </c>
      <c r="G115" s="54">
        <v>2020</v>
      </c>
    </row>
    <row r="116" spans="1:7" ht="15.75" x14ac:dyDescent="0.25">
      <c r="A116" s="50" t="s">
        <v>200</v>
      </c>
      <c r="B116" s="51" t="s">
        <v>201</v>
      </c>
      <c r="C116" s="50">
        <v>-39.17</v>
      </c>
      <c r="D116" s="50">
        <v>16.43</v>
      </c>
      <c r="E116" s="50">
        <v>3.98</v>
      </c>
      <c r="F116" s="52">
        <v>2.75</v>
      </c>
      <c r="G116" s="50">
        <v>2.2599999999999998</v>
      </c>
    </row>
    <row r="117" spans="1:7" ht="15.75" x14ac:dyDescent="0.25">
      <c r="A117" s="47" t="s">
        <v>313</v>
      </c>
      <c r="B117" s="46" t="s">
        <v>201</v>
      </c>
      <c r="C117" s="47">
        <v>28.02</v>
      </c>
      <c r="D117" s="47">
        <v>38</v>
      </c>
      <c r="E117" s="47">
        <v>129.5</v>
      </c>
      <c r="F117" s="47">
        <v>98</v>
      </c>
      <c r="G117" s="47">
        <v>82</v>
      </c>
    </row>
    <row r="118" spans="1:7" ht="15.75" x14ac:dyDescent="0.25">
      <c r="A118" s="47" t="s">
        <v>359</v>
      </c>
      <c r="B118" s="46" t="s">
        <v>201</v>
      </c>
      <c r="C118" s="47">
        <v>0</v>
      </c>
      <c r="D118" s="47">
        <v>0</v>
      </c>
      <c r="E118" s="47">
        <v>0</v>
      </c>
      <c r="F118" s="47">
        <v>0</v>
      </c>
      <c r="G118" s="47">
        <v>0</v>
      </c>
    </row>
    <row r="119" spans="1:7" x14ac:dyDescent="0.25">
      <c r="A119" s="46" t="s">
        <v>202</v>
      </c>
      <c r="B119" s="46" t="s">
        <v>201</v>
      </c>
      <c r="C119" s="48">
        <v>37.520000000000003</v>
      </c>
      <c r="D119" s="48">
        <v>61.48</v>
      </c>
      <c r="E119" s="48">
        <v>46.74</v>
      </c>
      <c r="F119" s="48">
        <v>48.47</v>
      </c>
      <c r="G119" s="48">
        <v>42.76</v>
      </c>
    </row>
    <row r="120" spans="1:7" ht="15.75" x14ac:dyDescent="0.25">
      <c r="A120" s="47" t="s">
        <v>205</v>
      </c>
      <c r="B120" s="46" t="s">
        <v>204</v>
      </c>
      <c r="C120" s="49">
        <v>384722</v>
      </c>
      <c r="D120" s="49">
        <v>244822</v>
      </c>
      <c r="E120" s="49">
        <v>116642</v>
      </c>
      <c r="F120" s="49">
        <v>109404</v>
      </c>
      <c r="G120" s="49">
        <v>101151</v>
      </c>
    </row>
    <row r="121" spans="1:7" ht="18" customHeight="1" x14ac:dyDescent="0.25">
      <c r="A121" s="9" t="s">
        <v>203</v>
      </c>
      <c r="B121" s="9" t="s">
        <v>204</v>
      </c>
      <c r="C121" s="10">
        <v>150000000</v>
      </c>
      <c r="D121" s="10">
        <v>150000000</v>
      </c>
      <c r="E121" s="10">
        <v>150000000</v>
      </c>
      <c r="F121" s="10">
        <v>150000000</v>
      </c>
      <c r="G121" s="10">
        <v>135000000</v>
      </c>
    </row>
  </sheetData>
  <mergeCells count="4">
    <mergeCell ref="A49:B49"/>
    <mergeCell ref="D73:E73"/>
    <mergeCell ref="A74:B74"/>
    <mergeCell ref="A114:G1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6612-1571-46BD-860B-FED3DB7A6998}">
  <dimension ref="A1:P178"/>
  <sheetViews>
    <sheetView zoomScale="67" workbookViewId="0">
      <selection activeCell="I113" sqref="I113"/>
    </sheetView>
  </sheetViews>
  <sheetFormatPr defaultRowHeight="15" x14ac:dyDescent="0.25"/>
  <cols>
    <col min="1" max="1" width="36.85546875" customWidth="1"/>
    <col min="2" max="2" width="10.140625" customWidth="1"/>
    <col min="3" max="3" width="9.5703125" customWidth="1"/>
    <col min="4" max="4" width="8.85546875" customWidth="1"/>
    <col min="5" max="5" width="9.42578125" customWidth="1"/>
    <col min="6" max="6" width="17.28515625" customWidth="1"/>
  </cols>
  <sheetData>
    <row r="1" spans="1:6" x14ac:dyDescent="0.25">
      <c r="A1" s="310" t="s">
        <v>64</v>
      </c>
      <c r="B1" s="197"/>
      <c r="C1" s="197"/>
      <c r="D1" s="197"/>
      <c r="E1" s="197"/>
      <c r="F1" s="197"/>
    </row>
    <row r="2" spans="1:6" x14ac:dyDescent="0.25">
      <c r="A2" s="313" t="s">
        <v>298</v>
      </c>
      <c r="B2" s="197"/>
      <c r="C2" s="197"/>
      <c r="D2" s="197"/>
      <c r="E2" s="197"/>
      <c r="F2" s="197"/>
    </row>
    <row r="3" spans="1:6" x14ac:dyDescent="0.25">
      <c r="A3" s="197" t="s">
        <v>290</v>
      </c>
      <c r="B3" s="440">
        <v>2020</v>
      </c>
      <c r="C3" s="440">
        <v>2021</v>
      </c>
      <c r="D3" s="440">
        <v>2022</v>
      </c>
      <c r="E3" s="440">
        <v>2023</v>
      </c>
      <c r="F3" s="440">
        <v>2024</v>
      </c>
    </row>
    <row r="4" spans="1:6" x14ac:dyDescent="0.25">
      <c r="A4" s="197" t="s">
        <v>291</v>
      </c>
      <c r="B4" s="197">
        <v>1.59</v>
      </c>
      <c r="C4" s="197">
        <v>1.4650000000000001</v>
      </c>
      <c r="D4" s="197">
        <v>1.2949999999999999</v>
      </c>
      <c r="E4" s="197">
        <v>1.44</v>
      </c>
      <c r="F4" s="197">
        <v>1.2350000000000001</v>
      </c>
    </row>
    <row r="5" spans="1:6" x14ac:dyDescent="0.25">
      <c r="A5" s="197" t="s">
        <v>297</v>
      </c>
      <c r="B5" s="40">
        <v>1.0629626000000001</v>
      </c>
      <c r="C5" s="40">
        <v>0.80559977299999996</v>
      </c>
      <c r="D5" s="40">
        <v>0.69837660219999997</v>
      </c>
      <c r="E5" s="40">
        <v>0.68765880710000005</v>
      </c>
      <c r="F5" s="40">
        <v>0.68852884029999994</v>
      </c>
    </row>
    <row r="6" spans="1:6" x14ac:dyDescent="0.25">
      <c r="A6" s="197"/>
      <c r="B6" s="197"/>
      <c r="C6" s="197"/>
      <c r="D6" s="197"/>
      <c r="E6" s="197"/>
      <c r="F6" s="197"/>
    </row>
    <row r="7" spans="1:6" x14ac:dyDescent="0.25">
      <c r="A7" s="313" t="s">
        <v>292</v>
      </c>
      <c r="B7" s="197"/>
      <c r="C7" s="197"/>
      <c r="D7" s="197"/>
      <c r="E7" s="197"/>
      <c r="F7" s="197"/>
    </row>
    <row r="8" spans="1:6" x14ac:dyDescent="0.25">
      <c r="A8" s="197" t="s">
        <v>290</v>
      </c>
      <c r="B8" s="440">
        <v>2020</v>
      </c>
      <c r="C8" s="440">
        <v>2021</v>
      </c>
      <c r="D8" s="440">
        <v>2022</v>
      </c>
      <c r="E8" s="440">
        <v>2023</v>
      </c>
      <c r="F8" s="440">
        <v>2024</v>
      </c>
    </row>
    <row r="9" spans="1:6" x14ac:dyDescent="0.25">
      <c r="A9" s="197" t="s">
        <v>291</v>
      </c>
      <c r="B9" s="197">
        <v>1.18</v>
      </c>
      <c r="C9" s="197">
        <v>0.99</v>
      </c>
      <c r="D9" s="197">
        <v>0.65</v>
      </c>
      <c r="E9" s="197">
        <v>0.92</v>
      </c>
      <c r="F9" s="197">
        <v>0.755</v>
      </c>
    </row>
    <row r="10" spans="1:6" x14ac:dyDescent="0.25">
      <c r="A10" s="197" t="s">
        <v>297</v>
      </c>
      <c r="B10" s="393">
        <v>0.59</v>
      </c>
      <c r="C10" s="393">
        <v>0.35</v>
      </c>
      <c r="D10" s="393">
        <v>0.2</v>
      </c>
      <c r="E10" s="393">
        <v>0.22</v>
      </c>
      <c r="F10" s="393">
        <v>0.32</v>
      </c>
    </row>
    <row r="11" spans="1:6" x14ac:dyDescent="0.25">
      <c r="B11" s="364"/>
      <c r="C11" s="364"/>
      <c r="D11" s="364"/>
      <c r="E11" s="364"/>
      <c r="F11" s="364"/>
    </row>
    <row r="12" spans="1:6" x14ac:dyDescent="0.25">
      <c r="B12" s="364"/>
      <c r="C12" s="364"/>
      <c r="D12" s="364"/>
      <c r="E12" s="364"/>
      <c r="F12" s="364"/>
    </row>
    <row r="13" spans="1:6" x14ac:dyDescent="0.25">
      <c r="B13" s="364"/>
      <c r="C13" s="364"/>
      <c r="D13" s="364"/>
      <c r="E13" s="364"/>
      <c r="F13" s="364"/>
    </row>
    <row r="14" spans="1:6" x14ac:dyDescent="0.25">
      <c r="B14" s="364"/>
      <c r="C14" s="364"/>
      <c r="D14" s="364"/>
      <c r="E14" s="364"/>
      <c r="F14" s="364"/>
    </row>
    <row r="18" spans="1:11" x14ac:dyDescent="0.25">
      <c r="A18" s="392"/>
    </row>
    <row r="19" spans="1:11" x14ac:dyDescent="0.25">
      <c r="A19" s="312" t="s">
        <v>67</v>
      </c>
      <c r="B19" s="197"/>
      <c r="C19" s="197"/>
      <c r="D19" s="197"/>
      <c r="E19" s="197"/>
      <c r="F19" s="197"/>
    </row>
    <row r="20" spans="1:11" x14ac:dyDescent="0.25">
      <c r="A20" s="313" t="s">
        <v>293</v>
      </c>
      <c r="B20" s="197"/>
      <c r="C20" s="197"/>
      <c r="D20" s="197"/>
      <c r="E20" s="197"/>
      <c r="F20" s="197"/>
    </row>
    <row r="21" spans="1:11" x14ac:dyDescent="0.25">
      <c r="A21" s="197" t="s">
        <v>290</v>
      </c>
      <c r="B21" s="440">
        <v>2020</v>
      </c>
      <c r="C21" s="440">
        <v>2021</v>
      </c>
      <c r="D21" s="440">
        <v>2022</v>
      </c>
      <c r="E21" s="440">
        <v>2023</v>
      </c>
      <c r="F21" s="440">
        <v>2024</v>
      </c>
    </row>
    <row r="22" spans="1:11" x14ac:dyDescent="0.25">
      <c r="A22" s="197" t="s">
        <v>291</v>
      </c>
      <c r="B22" s="197">
        <v>8.33</v>
      </c>
      <c r="C22" s="197">
        <v>10.06</v>
      </c>
      <c r="D22" s="197">
        <v>4.5869999999999997</v>
      </c>
      <c r="E22" s="197">
        <v>4.8</v>
      </c>
      <c r="F22" s="197">
        <v>5.1779999999999999</v>
      </c>
    </row>
    <row r="23" spans="1:11" x14ac:dyDescent="0.25">
      <c r="A23" s="197" t="s">
        <v>297</v>
      </c>
      <c r="B23" s="42">
        <v>5.32</v>
      </c>
      <c r="C23" s="42">
        <v>4.37</v>
      </c>
      <c r="D23" s="42">
        <v>3.65</v>
      </c>
      <c r="E23" s="42">
        <v>3.37</v>
      </c>
      <c r="F23" s="42">
        <v>4.8600000000000003</v>
      </c>
    </row>
    <row r="24" spans="1:11" x14ac:dyDescent="0.25">
      <c r="A24" s="197"/>
      <c r="B24" s="197"/>
      <c r="C24" s="197"/>
      <c r="D24" s="197"/>
      <c r="E24" s="197"/>
      <c r="F24" s="197"/>
    </row>
    <row r="25" spans="1:11" x14ac:dyDescent="0.25">
      <c r="A25" s="197"/>
      <c r="B25" s="197"/>
      <c r="C25" s="197"/>
      <c r="D25" s="197"/>
      <c r="E25" s="197"/>
      <c r="F25" s="197"/>
    </row>
    <row r="26" spans="1:11" x14ac:dyDescent="0.25">
      <c r="A26" s="439" t="s">
        <v>69</v>
      </c>
      <c r="B26" s="197"/>
      <c r="C26" s="197"/>
      <c r="D26" s="197"/>
      <c r="E26" s="197"/>
      <c r="F26" s="197"/>
    </row>
    <row r="27" spans="1:11" x14ac:dyDescent="0.25">
      <c r="A27" s="197" t="s">
        <v>290</v>
      </c>
      <c r="B27" s="440">
        <v>2020</v>
      </c>
      <c r="C27" s="440">
        <v>2021</v>
      </c>
      <c r="D27" s="440">
        <v>2022</v>
      </c>
      <c r="E27" s="440">
        <v>2023</v>
      </c>
      <c r="F27" s="440">
        <v>2024</v>
      </c>
    </row>
    <row r="28" spans="1:11" x14ac:dyDescent="0.25">
      <c r="A28" s="197" t="s">
        <v>291</v>
      </c>
      <c r="B28" s="197">
        <v>7.78</v>
      </c>
      <c r="C28" s="197">
        <v>9.56</v>
      </c>
      <c r="D28" s="197">
        <v>9.7349999999999994</v>
      </c>
      <c r="E28" s="197">
        <v>12.02</v>
      </c>
      <c r="F28" s="197">
        <v>11.08</v>
      </c>
    </row>
    <row r="29" spans="1:11" x14ac:dyDescent="0.25">
      <c r="A29" s="197" t="s">
        <v>297</v>
      </c>
      <c r="B29" s="42">
        <v>34.044404729999997</v>
      </c>
      <c r="C29" s="42">
        <v>45.533193300000001</v>
      </c>
      <c r="D29" s="42">
        <v>28.818758920000001</v>
      </c>
      <c r="E29" s="42">
        <v>44.565694649999998</v>
      </c>
      <c r="F29" s="42">
        <v>50.165477899999999</v>
      </c>
    </row>
    <row r="30" spans="1:11" x14ac:dyDescent="0.25">
      <c r="A30" s="197"/>
      <c r="B30" s="197"/>
      <c r="C30" s="197"/>
      <c r="D30" s="197"/>
      <c r="E30" s="197"/>
      <c r="F30" s="197"/>
    </row>
    <row r="31" spans="1:11" x14ac:dyDescent="0.25">
      <c r="A31" s="197"/>
      <c r="B31" s="197"/>
      <c r="C31" s="197"/>
      <c r="D31" s="197"/>
      <c r="E31" s="197"/>
      <c r="F31" s="197"/>
    </row>
    <row r="32" spans="1:11" x14ac:dyDescent="0.25">
      <c r="A32" s="439" t="s">
        <v>70</v>
      </c>
      <c r="B32" s="197"/>
      <c r="C32" s="197"/>
      <c r="D32" s="197"/>
      <c r="E32" s="197"/>
      <c r="F32" s="197"/>
      <c r="K32" s="435"/>
    </row>
    <row r="33" spans="1:16" x14ac:dyDescent="0.25">
      <c r="A33" s="197" t="s">
        <v>290</v>
      </c>
      <c r="B33" s="440">
        <v>2020</v>
      </c>
      <c r="C33" s="440">
        <v>2021</v>
      </c>
      <c r="D33" s="440">
        <v>2022</v>
      </c>
      <c r="E33" s="440">
        <v>2023</v>
      </c>
      <c r="F33" s="440">
        <v>2024</v>
      </c>
      <c r="K33" s="450"/>
    </row>
    <row r="34" spans="1:16" x14ac:dyDescent="0.25">
      <c r="A34" s="197" t="s">
        <v>291</v>
      </c>
      <c r="B34" s="449">
        <v>1.0770645186806902</v>
      </c>
      <c r="C34" s="449">
        <v>1.021013920757242</v>
      </c>
      <c r="D34" s="449">
        <v>0.94020428911149401</v>
      </c>
      <c r="E34" s="449">
        <v>1.1270097529325336</v>
      </c>
      <c r="F34" s="449">
        <v>1.1946725238292688</v>
      </c>
      <c r="L34" s="434"/>
      <c r="M34" s="434"/>
      <c r="N34" s="434"/>
      <c r="O34" s="434"/>
      <c r="P34" s="434"/>
    </row>
    <row r="35" spans="1:16" x14ac:dyDescent="0.25">
      <c r="A35" s="197" t="s">
        <v>297</v>
      </c>
      <c r="B35" s="42">
        <v>0.72691780859999999</v>
      </c>
      <c r="C35" s="42">
        <v>0.49864982219999998</v>
      </c>
      <c r="D35" s="42">
        <v>0.47266753569999997</v>
      </c>
      <c r="E35" s="42">
        <v>0.56275317940000003</v>
      </c>
      <c r="F35" s="42">
        <v>0.87</v>
      </c>
      <c r="L35" s="451"/>
      <c r="M35" s="451"/>
      <c r="N35" s="451"/>
      <c r="O35" s="451"/>
      <c r="P35" s="451"/>
    </row>
    <row r="36" spans="1:16" x14ac:dyDescent="0.25">
      <c r="A36" s="197"/>
      <c r="B36" s="197"/>
      <c r="C36" s="197"/>
      <c r="D36" s="197"/>
      <c r="E36" s="197"/>
      <c r="F36" s="197"/>
      <c r="L36" s="452"/>
      <c r="M36" s="452"/>
      <c r="N36" s="452"/>
      <c r="O36" s="452"/>
      <c r="P36" s="452"/>
    </row>
    <row r="37" spans="1:16" x14ac:dyDescent="0.25">
      <c r="A37" s="439" t="s">
        <v>71</v>
      </c>
      <c r="B37" s="197"/>
      <c r="C37" s="197"/>
      <c r="D37" s="197"/>
      <c r="E37" s="197"/>
      <c r="F37" s="197"/>
    </row>
    <row r="38" spans="1:16" x14ac:dyDescent="0.25">
      <c r="A38" s="197" t="s">
        <v>290</v>
      </c>
      <c r="B38" s="440">
        <v>2020</v>
      </c>
      <c r="C38" s="440">
        <v>2021</v>
      </c>
      <c r="D38" s="440">
        <v>2022</v>
      </c>
      <c r="E38" s="440">
        <v>2023</v>
      </c>
      <c r="F38" s="440">
        <v>2024</v>
      </c>
    </row>
    <row r="39" spans="1:16" x14ac:dyDescent="0.25">
      <c r="A39" s="197" t="s">
        <v>291</v>
      </c>
      <c r="B39" s="449">
        <v>2.6766570772967802</v>
      </c>
      <c r="C39" s="449">
        <v>2.522147973685847</v>
      </c>
      <c r="D39" s="449">
        <v>2.8279751133228808</v>
      </c>
      <c r="E39" s="449">
        <v>3.9306734685060083</v>
      </c>
      <c r="F39" s="449">
        <v>4.4083070983988444</v>
      </c>
      <c r="K39" s="435"/>
    </row>
    <row r="40" spans="1:16" x14ac:dyDescent="0.25">
      <c r="A40" s="197" t="s">
        <v>297</v>
      </c>
      <c r="B40" s="394">
        <v>1.77</v>
      </c>
      <c r="C40" s="394">
        <v>1.1100000000000001</v>
      </c>
      <c r="D40" s="394">
        <v>0.84</v>
      </c>
      <c r="E40" s="394">
        <v>1.1399999999999999</v>
      </c>
      <c r="F40" s="394">
        <v>1.8</v>
      </c>
      <c r="L40" s="434"/>
      <c r="M40" s="434"/>
      <c r="N40" s="434"/>
      <c r="O40" s="434"/>
      <c r="P40" s="434"/>
    </row>
    <row r="41" spans="1:16" x14ac:dyDescent="0.25">
      <c r="A41" s="197"/>
      <c r="B41" s="433"/>
      <c r="C41" s="433"/>
      <c r="D41" s="433"/>
      <c r="E41" s="433"/>
      <c r="F41" s="433"/>
      <c r="L41" s="451"/>
      <c r="M41" s="451"/>
      <c r="N41" s="451"/>
      <c r="O41" s="451"/>
      <c r="P41" s="451"/>
    </row>
    <row r="42" spans="1:16" x14ac:dyDescent="0.25">
      <c r="A42" s="197"/>
      <c r="B42" s="433"/>
      <c r="C42" s="433"/>
      <c r="D42" s="433"/>
      <c r="E42" s="433"/>
      <c r="F42" s="433"/>
      <c r="L42" s="452"/>
      <c r="M42" s="452"/>
      <c r="N42" s="452"/>
      <c r="O42" s="452"/>
      <c r="P42" s="452"/>
    </row>
    <row r="43" spans="1:16" x14ac:dyDescent="0.25">
      <c r="A43" s="439" t="s">
        <v>348</v>
      </c>
      <c r="B43" s="197"/>
      <c r="C43" s="197"/>
      <c r="D43" s="197"/>
      <c r="E43" s="197"/>
      <c r="F43" s="197"/>
    </row>
    <row r="44" spans="1:16" x14ac:dyDescent="0.25">
      <c r="A44" s="197" t="s">
        <v>290</v>
      </c>
      <c r="B44" s="440">
        <v>2020</v>
      </c>
      <c r="C44" s="440">
        <v>2021</v>
      </c>
      <c r="D44" s="440">
        <v>2022</v>
      </c>
      <c r="E44" s="440">
        <v>2023</v>
      </c>
      <c r="F44" s="440">
        <v>2024</v>
      </c>
      <c r="K44" s="435"/>
    </row>
    <row r="45" spans="1:16" x14ac:dyDescent="0.25">
      <c r="A45" s="197" t="s">
        <v>291</v>
      </c>
      <c r="B45" s="442">
        <v>48.9</v>
      </c>
      <c r="C45" s="442">
        <v>55.65</v>
      </c>
      <c r="D45" s="442">
        <v>48.22</v>
      </c>
      <c r="E45" s="442">
        <v>46.54</v>
      </c>
      <c r="F45" s="442">
        <v>27.06</v>
      </c>
      <c r="G45" s="456"/>
      <c r="K45" s="435"/>
    </row>
    <row r="46" spans="1:16" x14ac:dyDescent="0.25">
      <c r="A46" s="444" t="s">
        <v>297</v>
      </c>
      <c r="B46" s="429">
        <v>60</v>
      </c>
      <c r="C46" s="430">
        <v>50.9</v>
      </c>
      <c r="D46" s="430">
        <v>55.5</v>
      </c>
      <c r="E46" s="430">
        <v>19.899999999999999</v>
      </c>
      <c r="F46" s="430">
        <v>11.5</v>
      </c>
      <c r="L46" s="434"/>
      <c r="M46" s="434"/>
      <c r="N46" s="434"/>
      <c r="O46" s="434"/>
      <c r="P46" s="434"/>
    </row>
    <row r="47" spans="1:16" x14ac:dyDescent="0.25">
      <c r="A47" s="197"/>
      <c r="B47" s="433"/>
      <c r="C47" s="433"/>
      <c r="D47" s="433"/>
      <c r="E47" s="433"/>
      <c r="F47" s="433"/>
      <c r="L47" s="437"/>
      <c r="M47" s="437"/>
      <c r="N47" s="437"/>
      <c r="O47" s="437"/>
      <c r="P47" s="437"/>
    </row>
    <row r="48" spans="1:16" x14ac:dyDescent="0.25">
      <c r="A48" s="197"/>
      <c r="B48" s="433"/>
      <c r="C48" s="433"/>
      <c r="D48" s="433"/>
      <c r="E48" s="433"/>
      <c r="F48" s="433"/>
      <c r="L48" s="452"/>
      <c r="M48" s="452"/>
      <c r="N48" s="452"/>
      <c r="O48" s="452"/>
      <c r="P48" s="452"/>
    </row>
    <row r="49" spans="1:6" x14ac:dyDescent="0.25">
      <c r="A49" s="439" t="s">
        <v>345</v>
      </c>
      <c r="B49" s="197"/>
      <c r="C49" s="197"/>
      <c r="D49" s="197"/>
      <c r="E49" s="197"/>
      <c r="F49" s="197"/>
    </row>
    <row r="50" spans="1:6" x14ac:dyDescent="0.25">
      <c r="A50" s="197" t="s">
        <v>290</v>
      </c>
      <c r="B50" s="440">
        <v>2020</v>
      </c>
      <c r="C50" s="440">
        <v>2021</v>
      </c>
      <c r="D50" s="440">
        <v>2022</v>
      </c>
      <c r="E50" s="440">
        <v>2023</v>
      </c>
      <c r="F50" s="440">
        <v>2024</v>
      </c>
    </row>
    <row r="51" spans="1:6" x14ac:dyDescent="0.25">
      <c r="A51" s="197" t="s">
        <v>291</v>
      </c>
      <c r="B51" s="449">
        <v>18.477507321792341</v>
      </c>
      <c r="C51" s="449">
        <v>15.713968993697019</v>
      </c>
      <c r="D51" s="449">
        <v>59.206540792727893</v>
      </c>
      <c r="E51" s="449">
        <v>49.682386510257189</v>
      </c>
      <c r="F51" s="449">
        <v>45.973806741296158</v>
      </c>
    </row>
    <row r="52" spans="1:6" x14ac:dyDescent="0.25">
      <c r="A52" s="197" t="s">
        <v>297</v>
      </c>
      <c r="B52" s="429">
        <v>79.3</v>
      </c>
      <c r="C52" s="430">
        <v>83.5</v>
      </c>
      <c r="D52" s="430">
        <v>100</v>
      </c>
      <c r="E52" s="430">
        <v>108.3</v>
      </c>
      <c r="F52" s="430">
        <v>75.099999999999994</v>
      </c>
    </row>
    <row r="53" spans="1:6" x14ac:dyDescent="0.25">
      <c r="A53" s="197"/>
      <c r="B53" s="433"/>
      <c r="C53" s="433"/>
      <c r="D53" s="433"/>
      <c r="E53" s="433"/>
      <c r="F53" s="433"/>
    </row>
    <row r="54" spans="1:6" x14ac:dyDescent="0.25">
      <c r="A54" s="197"/>
      <c r="B54" s="433"/>
      <c r="C54" s="433"/>
      <c r="D54" s="433"/>
      <c r="E54" s="433"/>
      <c r="F54" s="433"/>
    </row>
    <row r="55" spans="1:6" x14ac:dyDescent="0.25">
      <c r="A55" s="439" t="s">
        <v>347</v>
      </c>
      <c r="B55" s="197"/>
      <c r="C55" s="197"/>
      <c r="D55" s="197"/>
      <c r="E55" s="197"/>
      <c r="F55" s="197"/>
    </row>
    <row r="56" spans="1:6" x14ac:dyDescent="0.25">
      <c r="A56" s="197" t="s">
        <v>290</v>
      </c>
      <c r="B56" s="440">
        <v>2020</v>
      </c>
      <c r="C56" s="440">
        <v>2021</v>
      </c>
      <c r="D56" s="440">
        <v>2022</v>
      </c>
      <c r="E56" s="440">
        <v>2023</v>
      </c>
      <c r="F56" s="440">
        <v>2024</v>
      </c>
    </row>
    <row r="57" spans="1:6" x14ac:dyDescent="0.25">
      <c r="A57" s="197" t="s">
        <v>291</v>
      </c>
      <c r="B57" s="442">
        <v>5.7350000000000003</v>
      </c>
      <c r="C57" s="442">
        <v>8.83</v>
      </c>
      <c r="D57" s="442">
        <v>9.4600000000000009</v>
      </c>
      <c r="E57" s="442">
        <v>9.75</v>
      </c>
      <c r="F57" s="442">
        <v>10.82</v>
      </c>
    </row>
    <row r="58" spans="1:6" x14ac:dyDescent="0.25">
      <c r="A58" s="197" t="s">
        <v>297</v>
      </c>
      <c r="B58" s="429">
        <v>9.8000000000000007</v>
      </c>
      <c r="C58" s="430">
        <v>7.2</v>
      </c>
      <c r="D58" s="430">
        <v>8.9</v>
      </c>
      <c r="E58" s="430">
        <v>8.4</v>
      </c>
      <c r="F58" s="430">
        <v>9.5</v>
      </c>
    </row>
    <row r="59" spans="1:6" x14ac:dyDescent="0.25">
      <c r="A59" s="197"/>
      <c r="B59" s="197"/>
      <c r="C59" s="197"/>
      <c r="D59" s="197"/>
      <c r="E59" s="197"/>
      <c r="F59" s="197"/>
    </row>
    <row r="60" spans="1:6" x14ac:dyDescent="0.25">
      <c r="A60" s="197"/>
      <c r="B60" s="197"/>
      <c r="C60" s="197"/>
      <c r="D60" s="197"/>
      <c r="E60" s="197"/>
      <c r="F60" s="197"/>
    </row>
    <row r="61" spans="1:6" x14ac:dyDescent="0.25">
      <c r="A61" s="313" t="s">
        <v>346</v>
      </c>
      <c r="B61" s="197"/>
      <c r="C61" s="197"/>
      <c r="D61" s="197"/>
      <c r="E61" s="197"/>
      <c r="F61" s="197"/>
    </row>
    <row r="62" spans="1:6" x14ac:dyDescent="0.25">
      <c r="A62" s="197" t="s">
        <v>295</v>
      </c>
      <c r="B62" s="440">
        <v>2020</v>
      </c>
      <c r="C62" s="440">
        <v>2021</v>
      </c>
      <c r="D62" s="440">
        <v>2022</v>
      </c>
      <c r="E62" s="440">
        <v>2023</v>
      </c>
      <c r="F62" s="440">
        <v>2024</v>
      </c>
    </row>
    <row r="63" spans="1:6" x14ac:dyDescent="0.25">
      <c r="A63" s="197" t="s">
        <v>296</v>
      </c>
      <c r="B63" s="449">
        <v>15.434211549716929</v>
      </c>
      <c r="C63" s="449">
        <v>5.2062545688539084</v>
      </c>
      <c r="D63" s="449">
        <v>10.513504399831012</v>
      </c>
      <c r="E63" s="449">
        <v>18.154969739388267</v>
      </c>
      <c r="F63" s="449">
        <v>-10.545194846498841</v>
      </c>
    </row>
    <row r="64" spans="1:6" x14ac:dyDescent="0.25">
      <c r="A64" s="197" t="s">
        <v>297</v>
      </c>
      <c r="B64" s="429">
        <v>37.299999999999997</v>
      </c>
      <c r="C64" s="430">
        <v>50.4</v>
      </c>
      <c r="D64" s="430">
        <v>34.200000000000003</v>
      </c>
      <c r="E64" s="430">
        <v>34.299999999999997</v>
      </c>
      <c r="F64" s="430">
        <v>38.4</v>
      </c>
    </row>
    <row r="65" spans="1:6" x14ac:dyDescent="0.25">
      <c r="A65" s="197"/>
      <c r="B65" s="197"/>
      <c r="C65" s="197"/>
      <c r="D65" s="197"/>
      <c r="E65" s="197"/>
      <c r="F65" s="197"/>
    </row>
    <row r="66" spans="1:6" x14ac:dyDescent="0.25">
      <c r="A66" s="197"/>
      <c r="B66" s="197"/>
      <c r="C66" s="197"/>
      <c r="D66" s="197"/>
      <c r="E66" s="197"/>
      <c r="F66" s="197"/>
    </row>
    <row r="67" spans="1:6" x14ac:dyDescent="0.25">
      <c r="A67" s="439" t="s">
        <v>340</v>
      </c>
      <c r="B67" s="197"/>
      <c r="C67" s="197"/>
      <c r="D67" s="197"/>
      <c r="E67" s="197"/>
      <c r="F67" s="197"/>
    </row>
    <row r="68" spans="1:6" x14ac:dyDescent="0.25">
      <c r="A68" s="197" t="s">
        <v>290</v>
      </c>
      <c r="B68" s="440">
        <v>2020</v>
      </c>
      <c r="C68" s="440">
        <v>2021</v>
      </c>
      <c r="D68" s="440">
        <v>2022</v>
      </c>
      <c r="E68" s="440">
        <v>2023</v>
      </c>
      <c r="F68" s="440">
        <v>2024</v>
      </c>
    </row>
    <row r="69" spans="1:6" x14ac:dyDescent="0.25">
      <c r="A69" s="444" t="s">
        <v>291</v>
      </c>
      <c r="B69" s="449">
        <v>-2.8504200845338379</v>
      </c>
      <c r="C69" s="449">
        <v>2.1355787259955825</v>
      </c>
      <c r="D69" s="449">
        <v>46.800922658674303</v>
      </c>
      <c r="E69" s="449">
        <v>40.112983840759981</v>
      </c>
      <c r="F69" s="449">
        <v>61.848322057040221</v>
      </c>
    </row>
    <row r="70" spans="1:6" x14ac:dyDescent="0.25">
      <c r="A70" s="466" t="s">
        <v>297</v>
      </c>
      <c r="B70" s="465">
        <v>10.4</v>
      </c>
      <c r="C70" s="430">
        <v>69.8</v>
      </c>
      <c r="D70" s="430">
        <v>59</v>
      </c>
      <c r="E70" s="430">
        <v>94.6</v>
      </c>
      <c r="F70" s="430">
        <v>65.2</v>
      </c>
    </row>
    <row r="73" spans="1:6" x14ac:dyDescent="0.25">
      <c r="A73" s="438" t="s">
        <v>72</v>
      </c>
      <c r="B73" s="197"/>
      <c r="C73" s="197"/>
      <c r="D73" s="197"/>
      <c r="E73" s="197"/>
      <c r="F73" s="197"/>
    </row>
    <row r="74" spans="1:6" x14ac:dyDescent="0.25">
      <c r="A74" s="439" t="s">
        <v>73</v>
      </c>
      <c r="B74" s="197"/>
      <c r="C74" s="197"/>
      <c r="D74" s="197"/>
      <c r="E74" s="197"/>
      <c r="F74" s="197"/>
    </row>
    <row r="75" spans="1:6" x14ac:dyDescent="0.25">
      <c r="A75" s="197" t="s">
        <v>290</v>
      </c>
      <c r="B75" s="440">
        <v>2020</v>
      </c>
      <c r="C75" s="440">
        <v>2021</v>
      </c>
      <c r="D75" s="440">
        <v>2022</v>
      </c>
      <c r="E75" s="440">
        <v>2023</v>
      </c>
      <c r="F75" s="440">
        <v>2024</v>
      </c>
    </row>
    <row r="76" spans="1:6" x14ac:dyDescent="0.25">
      <c r="A76" s="197" t="s">
        <v>291</v>
      </c>
      <c r="B76" s="442">
        <v>0.4330205505061141</v>
      </c>
      <c r="C76" s="442">
        <v>0.45201539334901353</v>
      </c>
      <c r="D76" s="442">
        <v>0.51743541178743713</v>
      </c>
      <c r="E76" s="442">
        <v>0.4179048368250623</v>
      </c>
      <c r="F76" s="442">
        <v>0.52019061522547494</v>
      </c>
    </row>
    <row r="77" spans="1:6" x14ac:dyDescent="0.25">
      <c r="A77" s="197" t="s">
        <v>297</v>
      </c>
      <c r="B77" s="43">
        <v>0.74950507229999996</v>
      </c>
      <c r="C77" s="43">
        <v>1.0176609679999999</v>
      </c>
      <c r="D77" s="43">
        <v>1.5366964519999999</v>
      </c>
      <c r="E77" s="43">
        <v>1.8120345659999999</v>
      </c>
      <c r="F77" s="43">
        <v>3.4682526619999998</v>
      </c>
    </row>
    <row r="78" spans="1:6" x14ac:dyDescent="0.25">
      <c r="A78" s="197"/>
      <c r="B78" s="197"/>
      <c r="C78" s="197"/>
      <c r="D78" s="197"/>
      <c r="E78" s="197"/>
      <c r="F78" s="197"/>
    </row>
    <row r="79" spans="1:6" x14ac:dyDescent="0.25">
      <c r="A79" s="197"/>
      <c r="B79" s="197"/>
      <c r="C79" s="197"/>
      <c r="D79" s="197"/>
      <c r="E79" s="197"/>
      <c r="F79" s="197"/>
    </row>
    <row r="80" spans="1:6" x14ac:dyDescent="0.25">
      <c r="A80" s="439" t="s">
        <v>74</v>
      </c>
      <c r="B80" s="197"/>
      <c r="C80" s="197"/>
      <c r="D80" s="197"/>
      <c r="E80" s="197"/>
      <c r="F80" s="197"/>
    </row>
    <row r="81" spans="1:6" x14ac:dyDescent="0.25">
      <c r="A81" s="197" t="s">
        <v>290</v>
      </c>
      <c r="B81" s="440">
        <v>2020</v>
      </c>
      <c r="C81" s="440">
        <v>2021</v>
      </c>
      <c r="D81" s="440">
        <v>2022</v>
      </c>
      <c r="E81" s="440">
        <v>2023</v>
      </c>
      <c r="F81" s="440">
        <v>2024</v>
      </c>
    </row>
    <row r="82" spans="1:6" x14ac:dyDescent="0.25">
      <c r="A82" s="197" t="s">
        <v>291</v>
      </c>
      <c r="B82" s="197">
        <v>1.32</v>
      </c>
      <c r="C82" s="197">
        <v>0.66</v>
      </c>
      <c r="D82" s="197">
        <v>6.59</v>
      </c>
      <c r="E82" s="197">
        <v>28.96</v>
      </c>
      <c r="F82" s="197">
        <v>21.82</v>
      </c>
    </row>
    <row r="83" spans="1:6" x14ac:dyDescent="0.25">
      <c r="A83" s="444" t="s">
        <v>297</v>
      </c>
      <c r="B83" s="436">
        <v>1.3436861600000001</v>
      </c>
      <c r="C83" s="436">
        <v>2.1273934219999999</v>
      </c>
      <c r="D83" s="436">
        <v>1.7110052330000001</v>
      </c>
      <c r="E83" s="436">
        <v>1.757581635</v>
      </c>
      <c r="F83" s="436">
        <v>0.7734270701</v>
      </c>
    </row>
    <row r="84" spans="1:6" x14ac:dyDescent="0.25">
      <c r="A84" s="197"/>
      <c r="B84" s="433"/>
      <c r="C84" s="433"/>
      <c r="D84" s="433"/>
      <c r="E84" s="433"/>
      <c r="F84" s="433"/>
    </row>
    <row r="85" spans="1:6" x14ac:dyDescent="0.25">
      <c r="A85" s="197"/>
      <c r="B85" s="433"/>
      <c r="C85" s="433"/>
      <c r="D85" s="433"/>
      <c r="E85" s="433"/>
      <c r="F85" s="433"/>
    </row>
    <row r="86" spans="1:6" x14ac:dyDescent="0.25">
      <c r="A86" s="439" t="s">
        <v>328</v>
      </c>
      <c r="B86" s="197"/>
      <c r="C86" s="197"/>
      <c r="D86" s="197"/>
      <c r="E86" s="197"/>
      <c r="F86" s="197"/>
    </row>
    <row r="87" spans="1:6" x14ac:dyDescent="0.25">
      <c r="A87" s="197" t="s">
        <v>290</v>
      </c>
      <c r="B87" s="440">
        <v>2020</v>
      </c>
      <c r="C87" s="440">
        <v>2021</v>
      </c>
      <c r="D87" s="440">
        <v>2022</v>
      </c>
      <c r="E87" s="440">
        <v>2023</v>
      </c>
      <c r="F87" s="440">
        <v>2024</v>
      </c>
    </row>
    <row r="88" spans="1:6" x14ac:dyDescent="0.25">
      <c r="A88" s="197" t="s">
        <v>291</v>
      </c>
      <c r="B88" s="197">
        <v>0.6</v>
      </c>
      <c r="C88" s="197">
        <v>0.69499999999999995</v>
      </c>
      <c r="D88" s="197">
        <v>0.83499999999999996</v>
      </c>
      <c r="E88" s="197">
        <v>0.79</v>
      </c>
      <c r="F88" s="197">
        <v>1.075</v>
      </c>
    </row>
    <row r="89" spans="1:6" x14ac:dyDescent="0.25">
      <c r="A89" s="197" t="s">
        <v>297</v>
      </c>
      <c r="B89" s="432">
        <v>0.83</v>
      </c>
      <c r="C89" s="43">
        <v>1.02</v>
      </c>
      <c r="D89" s="43">
        <v>1.55</v>
      </c>
      <c r="E89" s="43">
        <v>1.86</v>
      </c>
      <c r="F89" s="43">
        <v>3.52</v>
      </c>
    </row>
    <row r="90" spans="1:6" x14ac:dyDescent="0.25">
      <c r="A90" s="197"/>
      <c r="B90" s="197"/>
      <c r="C90" s="197"/>
      <c r="D90" s="197"/>
      <c r="E90" s="197"/>
      <c r="F90" s="197"/>
    </row>
    <row r="91" spans="1:6" x14ac:dyDescent="0.25">
      <c r="A91" s="197"/>
      <c r="B91" s="197"/>
      <c r="C91" s="197"/>
      <c r="D91" s="197"/>
      <c r="E91" s="197"/>
      <c r="F91" s="197"/>
    </row>
    <row r="92" spans="1:6" x14ac:dyDescent="0.25">
      <c r="A92" s="439" t="s">
        <v>344</v>
      </c>
      <c r="B92" s="197"/>
      <c r="C92" s="197"/>
      <c r="D92" s="197"/>
      <c r="E92" s="197"/>
      <c r="F92" s="197"/>
    </row>
    <row r="93" spans="1:6" x14ac:dyDescent="0.25">
      <c r="A93" s="197" t="s">
        <v>290</v>
      </c>
      <c r="B93" s="440">
        <v>2020</v>
      </c>
      <c r="C93" s="440">
        <v>2021</v>
      </c>
      <c r="D93" s="440">
        <v>2022</v>
      </c>
      <c r="E93" s="440">
        <v>2023</v>
      </c>
      <c r="F93" s="440">
        <v>2024</v>
      </c>
    </row>
    <row r="94" spans="1:6" x14ac:dyDescent="0.25">
      <c r="A94" s="197" t="s">
        <v>291</v>
      </c>
      <c r="B94" s="461">
        <v>8.1799999999999998E-2</v>
      </c>
      <c r="C94" s="311">
        <v>7.6499999999999999E-2</v>
      </c>
      <c r="D94" s="311">
        <v>5.28E-2</v>
      </c>
      <c r="E94" s="311">
        <v>3.2300000000000002E-2</v>
      </c>
      <c r="F94" s="311">
        <v>2.93E-2</v>
      </c>
    </row>
    <row r="95" spans="1:6" x14ac:dyDescent="0.25">
      <c r="A95" s="197" t="s">
        <v>297</v>
      </c>
      <c r="B95" s="428">
        <v>0.26800000000000002</v>
      </c>
      <c r="C95" s="428">
        <v>0.25900000000000001</v>
      </c>
      <c r="D95" s="428">
        <v>0.41399999999999998</v>
      </c>
      <c r="E95" s="428">
        <v>0.28699999999999998</v>
      </c>
      <c r="F95" s="428">
        <v>0.28100000000000003</v>
      </c>
    </row>
    <row r="96" spans="1:6" x14ac:dyDescent="0.25">
      <c r="A96" s="197"/>
      <c r="B96" s="197"/>
      <c r="C96" s="197"/>
      <c r="D96" s="197"/>
      <c r="E96" s="197"/>
      <c r="F96" s="197"/>
    </row>
    <row r="97" spans="1:6" x14ac:dyDescent="0.25">
      <c r="A97" s="197"/>
      <c r="B97" s="197"/>
      <c r="C97" s="197"/>
      <c r="D97" s="197"/>
      <c r="E97" s="197"/>
      <c r="F97" s="197"/>
    </row>
    <row r="98" spans="1:6" x14ac:dyDescent="0.25">
      <c r="A98" s="439" t="s">
        <v>349</v>
      </c>
      <c r="B98" s="197"/>
      <c r="C98" s="197"/>
      <c r="D98" s="197"/>
      <c r="E98" s="197"/>
      <c r="F98" s="197"/>
    </row>
    <row r="99" spans="1:6" x14ac:dyDescent="0.25">
      <c r="A99" s="197" t="s">
        <v>290</v>
      </c>
      <c r="B99" s="440">
        <v>2020</v>
      </c>
      <c r="C99" s="440">
        <v>2021</v>
      </c>
      <c r="D99" s="440">
        <v>2022</v>
      </c>
      <c r="E99" s="440">
        <v>2023</v>
      </c>
      <c r="F99" s="440">
        <v>2024</v>
      </c>
    </row>
    <row r="100" spans="1:6" x14ac:dyDescent="0.25">
      <c r="A100" s="197" t="s">
        <v>291</v>
      </c>
      <c r="B100" s="311">
        <v>0.21149999999999999</v>
      </c>
      <c r="C100" s="311">
        <v>0.24</v>
      </c>
      <c r="D100" s="311">
        <v>0.26105</v>
      </c>
      <c r="E100" s="311">
        <v>0.2223</v>
      </c>
      <c r="F100" s="311">
        <v>0.31705</v>
      </c>
    </row>
    <row r="101" spans="1:6" x14ac:dyDescent="0.25">
      <c r="A101" s="197" t="s">
        <v>297</v>
      </c>
      <c r="B101" s="428">
        <v>0.37</v>
      </c>
      <c r="C101" s="428">
        <v>0.42299999999999999</v>
      </c>
      <c r="D101" s="428">
        <v>0.47099999999999997</v>
      </c>
      <c r="E101" s="428">
        <v>0.55200000000000005</v>
      </c>
      <c r="F101" s="428">
        <v>0.63800000000000001</v>
      </c>
    </row>
    <row r="102" spans="1:6" x14ac:dyDescent="0.25">
      <c r="B102" s="462"/>
      <c r="C102" s="462"/>
      <c r="D102" s="462"/>
      <c r="E102" s="462"/>
      <c r="F102" s="462"/>
    </row>
    <row r="103" spans="1:6" x14ac:dyDescent="0.25">
      <c r="B103" s="462"/>
      <c r="C103" s="462"/>
      <c r="D103" s="462"/>
      <c r="E103" s="462"/>
      <c r="F103" s="462"/>
    </row>
    <row r="104" spans="1:6" x14ac:dyDescent="0.25">
      <c r="B104" s="462"/>
      <c r="C104" s="462"/>
      <c r="D104" s="462"/>
      <c r="E104" s="462"/>
      <c r="F104" s="462"/>
    </row>
    <row r="105" spans="1:6" x14ac:dyDescent="0.25">
      <c r="B105" s="462"/>
      <c r="C105" s="462"/>
      <c r="D105" s="462"/>
      <c r="E105" s="462"/>
      <c r="F105" s="462"/>
    </row>
    <row r="107" spans="1:6" x14ac:dyDescent="0.25">
      <c r="A107" s="438" t="s">
        <v>294</v>
      </c>
      <c r="B107" s="197"/>
      <c r="C107" s="197"/>
      <c r="D107" s="197"/>
      <c r="E107" s="197"/>
      <c r="F107" s="197"/>
    </row>
    <row r="108" spans="1:6" x14ac:dyDescent="0.25">
      <c r="A108" s="439" t="s">
        <v>302</v>
      </c>
      <c r="B108" s="197"/>
      <c r="C108" s="197"/>
      <c r="D108" s="197"/>
      <c r="E108" s="197"/>
      <c r="F108" s="197"/>
    </row>
    <row r="109" spans="1:6" x14ac:dyDescent="0.25">
      <c r="A109" s="197" t="s">
        <v>290</v>
      </c>
      <c r="B109" s="440">
        <v>2020</v>
      </c>
      <c r="C109" s="440">
        <v>2021</v>
      </c>
      <c r="D109" s="440">
        <v>2022</v>
      </c>
      <c r="E109" s="440">
        <v>2023</v>
      </c>
      <c r="F109" s="440">
        <v>2024</v>
      </c>
    </row>
    <row r="110" spans="1:6" x14ac:dyDescent="0.25">
      <c r="A110" s="197" t="s">
        <v>291</v>
      </c>
      <c r="B110" s="460">
        <v>9.49</v>
      </c>
      <c r="C110" s="460">
        <v>10.49</v>
      </c>
      <c r="D110" s="460">
        <v>10.82</v>
      </c>
      <c r="E110" s="460">
        <v>15.92</v>
      </c>
      <c r="F110" s="460">
        <v>11.26</v>
      </c>
    </row>
    <row r="111" spans="1:6" x14ac:dyDescent="0.25">
      <c r="A111" s="197" t="s">
        <v>297</v>
      </c>
      <c r="B111" s="445">
        <v>2.495783501</v>
      </c>
      <c r="C111" s="445">
        <v>3.6338756349999999</v>
      </c>
      <c r="D111" s="445">
        <v>4.2135509200000003</v>
      </c>
      <c r="E111" s="445">
        <v>10.78885975</v>
      </c>
      <c r="F111" s="445">
        <v>18.558889199999999</v>
      </c>
    </row>
    <row r="112" spans="1:6" x14ac:dyDescent="0.25">
      <c r="A112" s="197"/>
      <c r="B112" s="197"/>
      <c r="C112" s="197"/>
      <c r="D112" s="197"/>
      <c r="E112" s="197"/>
      <c r="F112" s="197"/>
    </row>
    <row r="113" spans="1:6" x14ac:dyDescent="0.25">
      <c r="A113" s="197"/>
      <c r="B113" s="197"/>
      <c r="C113" s="197"/>
      <c r="D113" s="197"/>
      <c r="E113" s="197"/>
      <c r="F113" s="197"/>
    </row>
    <row r="114" spans="1:6" x14ac:dyDescent="0.25">
      <c r="A114" s="439" t="s">
        <v>299</v>
      </c>
      <c r="B114" s="197"/>
      <c r="C114" s="197"/>
      <c r="D114" s="197"/>
      <c r="E114" s="197"/>
      <c r="F114" s="197"/>
    </row>
    <row r="115" spans="1:6" x14ac:dyDescent="0.25">
      <c r="A115" s="197" t="s">
        <v>290</v>
      </c>
      <c r="B115" s="440">
        <v>2020</v>
      </c>
      <c r="C115" s="440">
        <v>2021</v>
      </c>
      <c r="D115" s="440">
        <v>2022</v>
      </c>
      <c r="E115" s="440">
        <v>2023</v>
      </c>
      <c r="F115" s="440">
        <v>2024</v>
      </c>
    </row>
    <row r="116" spans="1:6" x14ac:dyDescent="0.25">
      <c r="A116" s="197" t="s">
        <v>291</v>
      </c>
      <c r="B116" s="443">
        <v>6.4350000000000004E-2</v>
      </c>
      <c r="C116" s="443">
        <v>4.9199999999999994E-2</v>
      </c>
      <c r="D116" s="443">
        <v>7.3650000000000007E-2</v>
      </c>
      <c r="E116" s="443">
        <v>0.18795000000000001</v>
      </c>
      <c r="F116" s="443">
        <v>1.3925000000000007E-2</v>
      </c>
    </row>
    <row r="117" spans="1:6" x14ac:dyDescent="0.25">
      <c r="A117" s="197" t="s">
        <v>297</v>
      </c>
      <c r="B117" s="446">
        <v>4.066700166E-2</v>
      </c>
      <c r="C117" s="446">
        <v>4.3496805940000001E-2</v>
      </c>
      <c r="D117" s="446">
        <v>6.5449344300000004E-2</v>
      </c>
      <c r="E117" s="446">
        <v>0.20511078529999999</v>
      </c>
      <c r="F117" s="446">
        <v>-0.88956376920000002</v>
      </c>
    </row>
    <row r="118" spans="1:6" x14ac:dyDescent="0.25">
      <c r="A118" s="197"/>
      <c r="B118" s="433"/>
      <c r="C118" s="433"/>
      <c r="D118" s="433"/>
      <c r="E118" s="433"/>
      <c r="F118" s="433"/>
    </row>
    <row r="119" spans="1:6" x14ac:dyDescent="0.25">
      <c r="A119" s="197"/>
      <c r="B119" s="433"/>
      <c r="C119" s="433"/>
      <c r="D119" s="433"/>
      <c r="E119" s="433"/>
      <c r="F119" s="433"/>
    </row>
    <row r="120" spans="1:6" x14ac:dyDescent="0.25">
      <c r="A120" s="439" t="s">
        <v>300</v>
      </c>
      <c r="B120" s="197"/>
      <c r="C120" s="197"/>
      <c r="D120" s="197"/>
      <c r="E120" s="197"/>
      <c r="F120" s="197"/>
    </row>
    <row r="121" spans="1:6" x14ac:dyDescent="0.25">
      <c r="A121" s="197" t="s">
        <v>290</v>
      </c>
      <c r="B121" s="440">
        <v>2020</v>
      </c>
      <c r="C121" s="440">
        <v>2021</v>
      </c>
      <c r="D121" s="440">
        <v>2022</v>
      </c>
      <c r="E121" s="440">
        <v>2023</v>
      </c>
      <c r="F121" s="440">
        <v>2024</v>
      </c>
    </row>
    <row r="122" spans="1:6" x14ac:dyDescent="0.25">
      <c r="A122" s="197" t="s">
        <v>291</v>
      </c>
      <c r="B122" s="443">
        <v>8.0225000000000005E-2</v>
      </c>
      <c r="C122" s="443">
        <v>7.9125000000000001E-2</v>
      </c>
      <c r="D122" s="443">
        <v>8.9050000000000004E-2</v>
      </c>
      <c r="E122" s="443">
        <v>0.17609999999999998</v>
      </c>
      <c r="F122" s="443">
        <v>0.13114999999999999</v>
      </c>
    </row>
    <row r="123" spans="1:6" x14ac:dyDescent="0.25">
      <c r="A123" s="197" t="s">
        <v>297</v>
      </c>
      <c r="B123" s="446">
        <v>2.2499999999999999E-2</v>
      </c>
      <c r="C123" s="446">
        <v>3.6200000000000003E-2</v>
      </c>
      <c r="D123" s="446">
        <v>3.2199999999999999E-2</v>
      </c>
      <c r="E123" s="446">
        <v>0.15759999999999999</v>
      </c>
      <c r="F123" s="446">
        <v>3.0599999999999999E-2</v>
      </c>
    </row>
    <row r="124" spans="1:6" x14ac:dyDescent="0.25">
      <c r="A124" s="197"/>
      <c r="B124" s="433"/>
      <c r="C124" s="433"/>
      <c r="D124" s="433"/>
      <c r="E124" s="433"/>
      <c r="F124" s="433"/>
    </row>
    <row r="125" spans="1:6" x14ac:dyDescent="0.25">
      <c r="A125" s="197"/>
      <c r="B125" s="433"/>
      <c r="C125" s="433"/>
      <c r="D125" s="433"/>
      <c r="E125" s="433"/>
      <c r="F125" s="433"/>
    </row>
    <row r="126" spans="1:6" x14ac:dyDescent="0.25">
      <c r="A126" s="439" t="s">
        <v>301</v>
      </c>
      <c r="B126" s="197"/>
      <c r="C126" s="197"/>
      <c r="D126" s="197"/>
      <c r="E126" s="197"/>
      <c r="F126" s="197"/>
    </row>
    <row r="127" spans="1:6" x14ac:dyDescent="0.25">
      <c r="A127" s="197" t="s">
        <v>290</v>
      </c>
      <c r="B127" s="440">
        <v>2020</v>
      </c>
      <c r="C127" s="440">
        <v>2021</v>
      </c>
      <c r="D127" s="440">
        <v>2022</v>
      </c>
      <c r="E127" s="440">
        <v>2023</v>
      </c>
      <c r="F127" s="440">
        <v>2024</v>
      </c>
    </row>
    <row r="128" spans="1:6" x14ac:dyDescent="0.25">
      <c r="A128" s="197" t="s">
        <v>291</v>
      </c>
      <c r="B128" s="461">
        <v>8.5000000000000006E-2</v>
      </c>
      <c r="C128" s="461">
        <v>7.6600000000000001E-2</v>
      </c>
      <c r="D128" s="461">
        <v>8.1500000000000003E-2</v>
      </c>
      <c r="E128" s="461">
        <v>0.17799999999999999</v>
      </c>
      <c r="F128" s="461">
        <v>0.1061</v>
      </c>
    </row>
    <row r="129" spans="1:6" x14ac:dyDescent="0.25">
      <c r="A129" s="197" t="s">
        <v>297</v>
      </c>
      <c r="B129" s="446">
        <v>2.2491128169999999E-2</v>
      </c>
      <c r="C129" s="446">
        <v>3.5680309200000003E-2</v>
      </c>
      <c r="D129" s="446">
        <v>2.830403209E-2</v>
      </c>
      <c r="E129" s="446">
        <v>9.1635998260000004E-2</v>
      </c>
      <c r="F129" s="446">
        <v>1.8106862299999998E-2</v>
      </c>
    </row>
    <row r="130" spans="1:6" x14ac:dyDescent="0.25">
      <c r="A130" s="197"/>
      <c r="B130" s="197"/>
      <c r="C130" s="197"/>
      <c r="D130" s="197"/>
      <c r="E130" s="197"/>
      <c r="F130" s="197"/>
    </row>
    <row r="131" spans="1:6" x14ac:dyDescent="0.25">
      <c r="A131" s="197"/>
      <c r="B131" s="197"/>
      <c r="C131" s="197"/>
      <c r="D131" s="197"/>
      <c r="E131" s="197"/>
      <c r="F131" s="197"/>
    </row>
    <row r="132" spans="1:6" x14ac:dyDescent="0.25">
      <c r="A132" s="313" t="s">
        <v>303</v>
      </c>
      <c r="B132" s="197"/>
      <c r="C132" s="197"/>
      <c r="D132" s="197"/>
      <c r="E132" s="197"/>
      <c r="F132" s="197"/>
    </row>
    <row r="133" spans="1:6" x14ac:dyDescent="0.25">
      <c r="A133" s="197" t="s">
        <v>295</v>
      </c>
      <c r="B133" s="440">
        <v>2020</v>
      </c>
      <c r="C133" s="440">
        <v>2021</v>
      </c>
      <c r="D133" s="440">
        <v>2022</v>
      </c>
      <c r="E133" s="440">
        <v>2023</v>
      </c>
      <c r="F133" s="440">
        <v>2024</v>
      </c>
    </row>
    <row r="134" spans="1:6" x14ac:dyDescent="0.25">
      <c r="A134" s="197" t="s">
        <v>296</v>
      </c>
      <c r="B134" s="461">
        <v>7.5399999999999995E-2</v>
      </c>
      <c r="C134" s="461">
        <v>7.8E-2</v>
      </c>
      <c r="D134" s="461">
        <v>9.0200000000000002E-2</v>
      </c>
      <c r="E134" s="461">
        <v>0.1525</v>
      </c>
      <c r="F134" s="461">
        <v>8.9800000000000005E-2</v>
      </c>
    </row>
    <row r="135" spans="1:6" x14ac:dyDescent="0.25">
      <c r="A135" s="197" t="s">
        <v>297</v>
      </c>
      <c r="B135" s="340">
        <v>3.09E-2</v>
      </c>
      <c r="C135" s="340">
        <v>7.1599999999999997E-2</v>
      </c>
      <c r="D135" s="340">
        <v>5.9900000000000002E-2</v>
      </c>
      <c r="E135" s="340">
        <v>0.1628</v>
      </c>
      <c r="F135" s="340">
        <v>2.0799999999999999E-2</v>
      </c>
    </row>
    <row r="136" spans="1:6" x14ac:dyDescent="0.25">
      <c r="A136" s="197"/>
      <c r="B136" s="197"/>
      <c r="C136" s="197"/>
      <c r="D136" s="197"/>
      <c r="E136" s="197"/>
      <c r="F136" s="197"/>
    </row>
    <row r="137" spans="1:6" x14ac:dyDescent="0.25">
      <c r="A137" s="197"/>
      <c r="B137" s="197"/>
      <c r="C137" s="197"/>
      <c r="D137" s="197"/>
      <c r="E137" s="197"/>
      <c r="F137" s="197"/>
    </row>
    <row r="138" spans="1:6" x14ac:dyDescent="0.25">
      <c r="A138" s="439" t="s">
        <v>305</v>
      </c>
      <c r="B138" s="197"/>
      <c r="C138" s="197"/>
      <c r="D138" s="197"/>
      <c r="E138" s="197"/>
      <c r="F138" s="197"/>
    </row>
    <row r="139" spans="1:6" x14ac:dyDescent="0.25">
      <c r="A139" s="197" t="s">
        <v>290</v>
      </c>
      <c r="B139" s="440">
        <v>2020</v>
      </c>
      <c r="C139" s="440">
        <v>2021</v>
      </c>
      <c r="D139" s="440">
        <v>2022</v>
      </c>
      <c r="E139" s="440">
        <v>2023</v>
      </c>
      <c r="F139" s="440">
        <v>2024</v>
      </c>
    </row>
    <row r="140" spans="1:6" x14ac:dyDescent="0.25">
      <c r="A140" s="197" t="s">
        <v>291</v>
      </c>
      <c r="B140" s="442">
        <v>0.61282500000000006</v>
      </c>
      <c r="C140" s="442">
        <v>0.60547499999999999</v>
      </c>
      <c r="D140" s="442">
        <v>0.424925</v>
      </c>
      <c r="E140" s="442">
        <v>0.51627499999999993</v>
      </c>
      <c r="F140" s="442">
        <v>-4.3400000000000008E-2</v>
      </c>
    </row>
    <row r="141" spans="1:6" x14ac:dyDescent="0.25">
      <c r="A141" s="197" t="s">
        <v>297</v>
      </c>
      <c r="B141" s="445">
        <v>3.6284589469999999</v>
      </c>
      <c r="C141" s="445">
        <v>1.9871164560000001</v>
      </c>
      <c r="D141" s="445">
        <v>2.2665415260000001</v>
      </c>
      <c r="E141" s="445">
        <v>6.9802981040000001</v>
      </c>
      <c r="F141" s="445">
        <v>16.093460310000001</v>
      </c>
    </row>
    <row r="144" spans="1:6" x14ac:dyDescent="0.25">
      <c r="A144" s="438" t="s">
        <v>77</v>
      </c>
      <c r="B144" s="197"/>
      <c r="C144" s="197"/>
      <c r="D144" s="197"/>
      <c r="E144" s="197"/>
      <c r="F144" s="197"/>
    </row>
    <row r="145" spans="1:6" x14ac:dyDescent="0.25">
      <c r="A145" s="439" t="s">
        <v>78</v>
      </c>
      <c r="B145" s="197"/>
      <c r="C145" s="197"/>
      <c r="D145" s="197"/>
      <c r="E145" s="197"/>
      <c r="F145" s="197"/>
    </row>
    <row r="146" spans="1:6" x14ac:dyDescent="0.25">
      <c r="A146" s="197" t="s">
        <v>290</v>
      </c>
      <c r="B146" s="440">
        <v>2020</v>
      </c>
      <c r="C146" s="440">
        <v>2021</v>
      </c>
      <c r="D146" s="440">
        <v>2022</v>
      </c>
      <c r="E146" s="440">
        <v>2023</v>
      </c>
      <c r="F146" s="440">
        <v>2024</v>
      </c>
    </row>
    <row r="147" spans="1:6" x14ac:dyDescent="0.25">
      <c r="A147" s="197" t="s">
        <v>291</v>
      </c>
      <c r="B147" s="197">
        <v>22.2775</v>
      </c>
      <c r="C147" s="197">
        <v>-18.414999999999999</v>
      </c>
      <c r="D147" s="197">
        <v>18.585000000000001</v>
      </c>
      <c r="E147" s="197">
        <v>2.9349999999999996</v>
      </c>
      <c r="F147" s="197">
        <v>-9.0074999999999985</v>
      </c>
    </row>
    <row r="148" spans="1:6" x14ac:dyDescent="0.25">
      <c r="A148" s="197" t="s">
        <v>297</v>
      </c>
      <c r="B148" s="45">
        <v>36.283185840000002</v>
      </c>
      <c r="C148" s="45">
        <v>35.636363639999999</v>
      </c>
      <c r="D148" s="45">
        <v>32.537688439999997</v>
      </c>
      <c r="E148" s="45">
        <v>2.312842362</v>
      </c>
      <c r="F148" s="45">
        <v>-0.715343375</v>
      </c>
    </row>
    <row r="149" spans="1:6" x14ac:dyDescent="0.25">
      <c r="A149" s="197"/>
      <c r="B149" s="197"/>
      <c r="C149" s="197"/>
      <c r="D149" s="197"/>
      <c r="E149" s="197"/>
      <c r="F149" s="197"/>
    </row>
    <row r="150" spans="1:6" x14ac:dyDescent="0.25">
      <c r="A150" s="197"/>
      <c r="B150" s="197"/>
      <c r="C150" s="197"/>
      <c r="D150" s="197"/>
      <c r="E150" s="197"/>
      <c r="F150" s="197"/>
    </row>
    <row r="151" spans="1:6" x14ac:dyDescent="0.25">
      <c r="A151" s="439" t="s">
        <v>79</v>
      </c>
      <c r="B151" s="197"/>
      <c r="C151" s="197"/>
      <c r="D151" s="197"/>
      <c r="E151" s="197"/>
      <c r="F151" s="197"/>
    </row>
    <row r="152" spans="1:6" x14ac:dyDescent="0.25">
      <c r="A152" s="197" t="s">
        <v>290</v>
      </c>
      <c r="B152" s="440">
        <v>2020</v>
      </c>
      <c r="C152" s="440">
        <v>2021</v>
      </c>
      <c r="D152" s="440">
        <v>2022</v>
      </c>
      <c r="E152" s="440">
        <v>2023</v>
      </c>
      <c r="F152" s="440">
        <v>2024</v>
      </c>
    </row>
    <row r="153" spans="1:6" x14ac:dyDescent="0.25">
      <c r="A153" s="197" t="s">
        <v>291</v>
      </c>
      <c r="B153" s="197">
        <v>0.64250000000000007</v>
      </c>
      <c r="C153" s="197">
        <v>0.53499999999999992</v>
      </c>
      <c r="D153" s="197">
        <v>0.4975</v>
      </c>
      <c r="E153" s="197">
        <v>0.59749999999999992</v>
      </c>
      <c r="F153" s="197">
        <v>0.71500000000000008</v>
      </c>
    </row>
    <row r="154" spans="1:6" x14ac:dyDescent="0.25">
      <c r="A154" s="197" t="s">
        <v>297</v>
      </c>
      <c r="B154" s="45">
        <v>1.917680075</v>
      </c>
      <c r="C154" s="45">
        <v>2.021869197</v>
      </c>
      <c r="D154" s="45">
        <v>2.7706461280000001</v>
      </c>
      <c r="E154" s="45">
        <v>0.61808718279999997</v>
      </c>
      <c r="F154" s="45">
        <v>0.74680170580000005</v>
      </c>
    </row>
    <row r="155" spans="1:6" x14ac:dyDescent="0.25">
      <c r="A155" s="197"/>
      <c r="B155" s="197"/>
      <c r="C155" s="197"/>
      <c r="D155" s="197"/>
      <c r="E155" s="197"/>
      <c r="F155" s="197"/>
    </row>
    <row r="156" spans="1:6" x14ac:dyDescent="0.25">
      <c r="A156" s="441"/>
      <c r="B156" s="197"/>
      <c r="C156" s="197"/>
      <c r="D156" s="197"/>
      <c r="E156" s="197"/>
      <c r="F156" s="197"/>
    </row>
    <row r="157" spans="1:6" x14ac:dyDescent="0.25">
      <c r="A157" s="439" t="s">
        <v>195</v>
      </c>
      <c r="B157" s="197"/>
      <c r="C157" s="197"/>
      <c r="D157" s="197"/>
      <c r="E157" s="197"/>
      <c r="F157" s="197"/>
    </row>
    <row r="158" spans="1:6" x14ac:dyDescent="0.25">
      <c r="A158" s="197" t="s">
        <v>290</v>
      </c>
      <c r="B158" s="440">
        <v>2020</v>
      </c>
      <c r="C158" s="440">
        <v>2021</v>
      </c>
      <c r="D158" s="440">
        <v>2022</v>
      </c>
      <c r="E158" s="440">
        <v>2023</v>
      </c>
      <c r="F158" s="440">
        <v>2024</v>
      </c>
    </row>
    <row r="159" spans="1:6" x14ac:dyDescent="0.25">
      <c r="A159" s="197" t="s">
        <v>291</v>
      </c>
      <c r="B159" s="442">
        <v>4.8975</v>
      </c>
      <c r="C159" s="442">
        <v>4.8949999999999996</v>
      </c>
      <c r="D159" s="442">
        <v>5.5124999999999993</v>
      </c>
      <c r="E159" s="442">
        <v>2.7475000000000001</v>
      </c>
      <c r="F159" s="442">
        <v>5.8075000000000001</v>
      </c>
    </row>
    <row r="160" spans="1:6" x14ac:dyDescent="0.25">
      <c r="A160" s="197" t="s">
        <v>297</v>
      </c>
      <c r="B160" s="45">
        <v>31.75</v>
      </c>
      <c r="C160" s="45">
        <v>32.450000000000003</v>
      </c>
      <c r="D160" s="45">
        <v>28.61</v>
      </c>
      <c r="E160" s="45">
        <v>5.65</v>
      </c>
      <c r="F160" s="55" t="s">
        <v>360</v>
      </c>
    </row>
    <row r="161" spans="1:6" x14ac:dyDescent="0.25">
      <c r="A161" s="197"/>
      <c r="B161" s="197"/>
      <c r="C161" s="197"/>
      <c r="D161" s="197"/>
      <c r="E161" s="197"/>
      <c r="F161" s="197"/>
    </row>
    <row r="162" spans="1:6" x14ac:dyDescent="0.25">
      <c r="A162" s="197"/>
      <c r="B162" s="197"/>
      <c r="C162" s="197"/>
      <c r="D162" s="197"/>
      <c r="E162" s="197"/>
      <c r="F162" s="197"/>
    </row>
    <row r="163" spans="1:6" x14ac:dyDescent="0.25">
      <c r="A163" s="448" t="s">
        <v>331</v>
      </c>
      <c r="B163" s="197"/>
      <c r="C163" s="197"/>
      <c r="D163" s="197"/>
      <c r="E163" s="197"/>
      <c r="F163" s="197"/>
    </row>
    <row r="164" spans="1:6" x14ac:dyDescent="0.25">
      <c r="A164" s="197" t="s">
        <v>290</v>
      </c>
      <c r="B164" s="440">
        <v>2020</v>
      </c>
      <c r="C164" s="440">
        <v>2021</v>
      </c>
      <c r="D164" s="440">
        <v>2022</v>
      </c>
      <c r="E164" s="440">
        <v>2023</v>
      </c>
      <c r="F164" s="440">
        <v>2024</v>
      </c>
    </row>
    <row r="165" spans="1:6" x14ac:dyDescent="0.25">
      <c r="A165" s="197" t="s">
        <v>291</v>
      </c>
      <c r="B165" s="472">
        <v>1.75</v>
      </c>
      <c r="C165" s="472">
        <v>3.625</v>
      </c>
      <c r="D165" s="472">
        <v>2.2925</v>
      </c>
      <c r="E165" s="472">
        <v>6.84</v>
      </c>
      <c r="F165" s="472">
        <v>3</v>
      </c>
    </row>
    <row r="166" spans="1:6" x14ac:dyDescent="0.25">
      <c r="A166" s="197" t="s">
        <v>297</v>
      </c>
      <c r="B166" s="447" t="s">
        <v>288</v>
      </c>
      <c r="C166" s="447" t="s">
        <v>288</v>
      </c>
      <c r="D166" s="447" t="s">
        <v>288</v>
      </c>
      <c r="E166" s="447" t="s">
        <v>288</v>
      </c>
      <c r="F166" s="447" t="s">
        <v>288</v>
      </c>
    </row>
    <row r="167" spans="1:6" x14ac:dyDescent="0.25">
      <c r="A167" s="197"/>
      <c r="B167" s="197"/>
      <c r="C167" s="197"/>
      <c r="D167" s="197"/>
      <c r="E167" s="197"/>
      <c r="F167" s="197"/>
    </row>
    <row r="168" spans="1:6" x14ac:dyDescent="0.25">
      <c r="A168" s="197"/>
      <c r="B168" s="197"/>
      <c r="C168" s="197"/>
      <c r="D168" s="197"/>
      <c r="E168" s="197"/>
      <c r="F168" s="197"/>
    </row>
    <row r="169" spans="1:6" x14ac:dyDescent="0.25">
      <c r="A169" s="448" t="s">
        <v>332</v>
      </c>
      <c r="B169" s="197"/>
      <c r="C169" s="197"/>
      <c r="D169" s="197"/>
      <c r="E169" s="197"/>
      <c r="F169" s="197"/>
    </row>
    <row r="170" spans="1:6" x14ac:dyDescent="0.25">
      <c r="A170" s="197" t="s">
        <v>290</v>
      </c>
      <c r="B170" s="440">
        <v>2020</v>
      </c>
      <c r="C170" s="440">
        <v>2021</v>
      </c>
      <c r="D170" s="440">
        <v>2022</v>
      </c>
      <c r="E170" s="440">
        <v>2023</v>
      </c>
      <c r="F170" s="440">
        <v>2024</v>
      </c>
    </row>
    <row r="171" spans="1:6" x14ac:dyDescent="0.25">
      <c r="A171" s="197" t="s">
        <v>291</v>
      </c>
      <c r="B171" s="472">
        <v>50.9</v>
      </c>
      <c r="C171" s="472">
        <v>-52.81</v>
      </c>
      <c r="D171" s="472">
        <v>15.71</v>
      </c>
      <c r="E171" s="472">
        <v>22.74</v>
      </c>
      <c r="F171" s="472">
        <v>18.45</v>
      </c>
    </row>
    <row r="172" spans="1:6" x14ac:dyDescent="0.25">
      <c r="A172" s="197" t="s">
        <v>297</v>
      </c>
      <c r="B172" s="45" t="s">
        <v>288</v>
      </c>
      <c r="C172" s="471">
        <v>36.979999999999997</v>
      </c>
      <c r="D172" s="471">
        <v>9.94</v>
      </c>
      <c r="E172" s="45" t="s">
        <v>288</v>
      </c>
      <c r="F172" s="45" t="s">
        <v>288</v>
      </c>
    </row>
    <row r="173" spans="1:6" x14ac:dyDescent="0.25">
      <c r="A173" s="197"/>
      <c r="B173" s="197"/>
      <c r="C173" s="197"/>
      <c r="D173" s="197"/>
      <c r="E173" s="197"/>
      <c r="F173" s="197"/>
    </row>
    <row r="174" spans="1:6" x14ac:dyDescent="0.25">
      <c r="A174" s="197"/>
      <c r="B174" s="197"/>
      <c r="C174" s="197"/>
      <c r="D174" s="197"/>
      <c r="E174" s="197"/>
      <c r="F174" s="197"/>
    </row>
    <row r="175" spans="1:6" x14ac:dyDescent="0.25">
      <c r="A175" s="448" t="s">
        <v>333</v>
      </c>
      <c r="B175" s="197"/>
      <c r="C175" s="197"/>
      <c r="D175" s="197"/>
      <c r="E175" s="197"/>
      <c r="F175" s="197"/>
    </row>
    <row r="176" spans="1:6" x14ac:dyDescent="0.25">
      <c r="A176" s="197" t="s">
        <v>290</v>
      </c>
      <c r="B176" s="440">
        <v>2020</v>
      </c>
      <c r="C176" s="440">
        <v>2021</v>
      </c>
      <c r="D176" s="440">
        <v>2022</v>
      </c>
      <c r="E176" s="440">
        <v>2023</v>
      </c>
      <c r="F176" s="440">
        <v>2024</v>
      </c>
    </row>
    <row r="177" spans="1:6" x14ac:dyDescent="0.25">
      <c r="A177" s="197" t="s">
        <v>291</v>
      </c>
      <c r="B177" s="473">
        <v>18.39</v>
      </c>
      <c r="C177" s="473">
        <v>28.33</v>
      </c>
      <c r="D177" s="473">
        <v>35.119999999999997</v>
      </c>
      <c r="E177" s="473">
        <v>45.055</v>
      </c>
      <c r="F177" s="473">
        <v>96.39</v>
      </c>
    </row>
    <row r="178" spans="1:6" x14ac:dyDescent="0.25">
      <c r="A178" s="197" t="s">
        <v>297</v>
      </c>
      <c r="B178" s="45" t="s">
        <v>288</v>
      </c>
      <c r="C178" s="45" t="s">
        <v>288</v>
      </c>
      <c r="D178" s="45" t="s">
        <v>288</v>
      </c>
      <c r="E178" s="45" t="s">
        <v>288</v>
      </c>
      <c r="F178" s="45" t="s">
        <v>288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66BFCD16C7B544B0263423A2B0FE8B" ma:contentTypeVersion="4" ma:contentTypeDescription="Create a new document." ma:contentTypeScope="" ma:versionID="97f0992395f16a2964491335431ea1b3">
  <xsd:schema xmlns:xsd="http://www.w3.org/2001/XMLSchema" xmlns:xs="http://www.w3.org/2001/XMLSchema" xmlns:p="http://schemas.microsoft.com/office/2006/metadata/properties" xmlns:ns3="1d8eb8c9-9bb9-4442-81f3-fb8abfdec0e3" targetNamespace="http://schemas.microsoft.com/office/2006/metadata/properties" ma:root="true" ma:fieldsID="e246664c7207f9386f3ca79cdc78a09a" ns3:_="">
    <xsd:import namespace="1d8eb8c9-9bb9-4442-81f3-fb8abfdec0e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eb8c9-9bb9-4442-81f3-fb8abfdec0e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A1456C-4419-4BA2-8874-72587050F9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D83140-1DB0-4C66-BDA8-FA6AB4B2E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eb8c9-9bb9-4442-81f3-fb8abfdec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AE7A5-375C-41A5-9CE2-CBBDFFED67BB}">
  <ds:schemaRefs>
    <ds:schemaRef ds:uri="http://schemas.openxmlformats.org/package/2006/metadata/core-properties"/>
    <ds:schemaRef ds:uri="1d8eb8c9-9bb9-4442-81f3-fb8abfdec0e3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Habib sugars</vt:lpstr>
      <vt:lpstr>Mehran sugar</vt:lpstr>
      <vt:lpstr>Al noors sugar</vt:lpstr>
      <vt:lpstr>chashma sugar</vt:lpstr>
      <vt:lpstr>mirpurkhas sugars (main)</vt:lpstr>
      <vt:lpstr>Industry Averages and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Ruqaiya Mustafa</dc:creator>
  <cp:lastModifiedBy>Ruqaiya Mustafa</cp:lastModifiedBy>
  <dcterms:created xsi:type="dcterms:W3CDTF">2025-11-17T16:53:20Z</dcterms:created>
  <dcterms:modified xsi:type="dcterms:W3CDTF">2025-12-06T17:14:20Z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0x0101001C66BFCD16C7B544B0263423A2B0FE8B</vt:lpwstr>
  </property>
</Properties>
</file>